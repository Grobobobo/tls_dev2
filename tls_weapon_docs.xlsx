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12.xml"/>
  <Override ContentType="application/vnd.ms-excel.documenttasks+xml" PartName="/xl/documenttasks/documenttask10.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7.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word" sheetId="1" r:id="rId5"/>
    <sheet state="visible" name="Hammer" sheetId="2" r:id="rId6"/>
    <sheet state="visible" name="1h Axe" sheetId="3" r:id="rId7"/>
    <sheet state="visible" name="Dagger" sheetId="4" r:id="rId8"/>
    <sheet state="visible" name="2h sword" sheetId="5" r:id="rId9"/>
    <sheet state="visible" name="2H Hammer" sheetId="6" r:id="rId10"/>
    <sheet state="visible" name="2H AXE" sheetId="7" r:id="rId11"/>
    <sheet state="visible" name="Spear" sheetId="8" r:id="rId12"/>
    <sheet state="visible" name="War Shield" sheetId="9" r:id="rId13"/>
    <sheet state="visible" name="Claws" sheetId="10" r:id="rId14"/>
    <sheet state="visible" name="Hand crossbow" sheetId="11" r:id="rId15"/>
    <sheet state="visible" name="Crossbow" sheetId="12" r:id="rId16"/>
    <sheet state="visible" name="Pistol" sheetId="13" r:id="rId17"/>
    <sheet state="visible" name="Shortbow" sheetId="14" r:id="rId18"/>
    <sheet state="visible" name="Longbow" sheetId="15" r:id="rId19"/>
    <sheet state="visible" name="Rifle" sheetId="16" r:id="rId20"/>
    <sheet state="visible" name="Cannon" sheetId="17" r:id="rId21"/>
    <sheet state="visible" name="Boomerang" sheetId="18" r:id="rId22"/>
    <sheet state="visible" name="Wand" sheetId="19" r:id="rId23"/>
    <sheet state="visible" name="Scepter" sheetId="20" r:id="rId24"/>
    <sheet state="visible" name="Tome of Secrets" sheetId="21" r:id="rId25"/>
    <sheet state="visible" name="Magic orb" sheetId="22" r:id="rId26"/>
    <sheet state="visible" name="power staff" sheetId="23" r:id="rId27"/>
    <sheet state="visible" name="druid staff" sheetId="24" r:id="rId28"/>
    <sheet state="visible" name="Gauntlet" sheetId="25" r:id="rId29"/>
    <sheet state="visible" name="Sacred Flower" sheetId="26" r:id="rId3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tc={45a1298d-305c-4e8a-ab16-627b43d48089}</author>
  </authors>
  <commentList>
    <comment authorId="0" xr:uid="{45a1298d-305c-4e8a-ab16-627b43d48089}" ref="A18">
      <text>
        <t xml:space="preserve">[Threaded comment]
 Your version of Excel allows you to read this threaded comment; however, any edits to it will get removed if the file is opened in a newer version of Excel. Learn more: https://go.microsoft.com/fwlink/?linkid=870924
Comment:
	This feels like it makes the hammer a ranged weapon
Reply:
	Why? do you mean the +1 use on the skill 2?
Reply:
	yes, moving from skill 1 into 2, also skill 2 is already quite strong, I think maybe skill 3 could have something to help with killing those enemies, like  2 turn armor or resistance debuff alongside the stun
Reply:
	Okay, that's fair, I'm reverting the skill use changes. 
Skill 3 is mostly about stun, so it doesn't need help killing the side tiles though.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tc={1c433778-14ce-42a4-9e4b-bb6e59eae991}</author>
  </authors>
  <commentList>
    <comment authorId="0" xr:uid="{1c433778-14ce-42a4-9e4b-bb6e59eae991}" ref="D19">
      <text>
        <t xml:space="preserve">[Threaded comment]
 Your version of Excel allows you to read this threaded comment; however, any edits to it will get removed if the file is opened in a newer version of Excel. Learn more: https://go.microsoft.com/fwlink/?linkid=870924
Comment:
	not sure if this is enough to make it feel good?
at least make skill 1 able to target ground
Reply:
	I think it should be enough
Maybe skill 2 should also get more base momentum, but 2h sword is already pretty close to being good.
I'm not sure if it's possible to make 2h sword ground targetable but it's worth looking into
Reply:
	the movement cost on skill 4 is my biggest criticism of 2h sword, so this is a change I agree with
Reply:
	it does feel bad, since it's hard to position, adn you already pay for momentum with movement, and if you're short you have to use skill 1 which makes skill 4 do less damage (if you kill)
Reply:
	Skill 1 doesn't change the damage of skill 4? And why would killing with it matter?
Reply:
	what I meant is if you end up in a place where you don't have enough movement for skill 4, and need to use skill 1 to get the movement, and kill enemies you wanted to target with skill 4, it feels bad
Reply:
	And that will happen less if skill 4 doesn't cost movement?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tc={2bca8f3e-1877-44d4-89a7-f4e150b146d1}</author>
  </authors>
  <commentList>
    <comment authorId="0" xr:uid="{2bca8f3e-1877-44d4-89a7-f4e150b146d1}" ref="B15">
      <text>
        <t xml:space="preserve">[Threaded comment]
 Your version of Excel allows you to read this threaded comment; however, any edits to it will get removed if the file is opened in a newer version of Excel. Learn more: https://go.microsoft.com/fwlink/?linkid=870924
Comment:
	I'd also make it apply the debuff to the main target tile
Reply:
	Sure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tc={7b3f32f6-a091-4742-b031-690b1a8f8afe}</author>
  </authors>
  <commentList>
    <comment authorId="0" xr:uid="{7b3f32f6-a091-4742-b031-690b1a8f8afe}" ref="A19">
      <text>
        <t xml:space="preserve">[Threaded comment]
 Your version of Excel allows you to read this threaded comment; however, any edits to it will get removed if the file is opened in a newer version of Excel. Learn more: https://go.microsoft.com/fwlink/?linkid=870924
Comment:
	I don't think this would be very helpful.
Maybe a x3 multihit (and slightly lower damage) with range 1-2 non-modifiable?
probably would need to change skill 3 away from multihit tho, like a cardinal spear throw with higher range, and maybe secondary damage on the sides (or debuff)
Reply:
	Why would this not be helpful? the issue of this skill is that 3 targets is too little for the damage it deals, adding a 4th would change a lot. If it's too weak, it can be a full tile instead of a side tile, but i think that could be too strong considering how good the spear already is
I'm definitely not adding any MH to a skill 1 :P
Reply:
	that is fine, but it could be more balanced on a melee weapon.
The idea is that it is starting to look like great axe with different shape, and I think great age works better since you can stay in the middle of the wave, where as with the spear it could be better from the side?
Reply:
	Yeah, the damage, positioning, amount of tiles, and accuracy is still different so i think it's different enough.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tc={432b4a5d-d6ad-4d91-860c-160774559a73}</author>
    <author>tc={8e08236a-5904-420e-99b0-26d5430c16be}</author>
  </authors>
  <commentList>
    <comment authorId="0" xr:uid="{432b4a5d-d6ad-4d91-860c-160774559a73}" ref="C23">
      <text>
        <t xml:space="preserve">[Threaded comment]
 Your version of Excel allows you to read this threaded comment; however, any edits to it will get removed if the file is opened in a newer version of Excel. Learn more: https://go.microsoft.com/fwlink/?linkid=870924
Comment:
	could make the steel grant block and this one give movement, since it's light and you like to position yourself with it
Reply:
	That's an option, although few weapons make sense with +armor, so i wanted war shield to have it.
Reply:
	It would make most sense to be on shield, but I would still prefer to keep armor on my armor.
also is the amount at tier 5? because it might not be that great, is tier 5 supposed to block an attack or half from a regular clawer?
Reply:
	No, we start calculating from tier 0
</t>
      </text>
    </comment>
    <comment authorId="1" xr:uid="{8e08236a-5904-420e-99b0-26d5430c16be}" ref="B19">
      <text>
        <t xml:space="preserve">[Threaded comment]
 Your version of Excel allows you to read this threaded comment; however, any edits to it will get removed if the file is opened in a newer version of Excel. Learn more: https://go.microsoft.com/fwlink/?linkid=870924
Comment:
	I'm not sure about the -dodge if it's really necessary.
would be possible to increase the skills damage by block amount?
Reply:
	I think it's worthwhile if we're removing base stat penalties from weapons, but tbh yes, it's not needed and we can just keep the -flat dodge. I don't think it's possible to increase the skills damage by the block amount, the perk already kind of does something like that anyway.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tc={4f2dee66-f4f3-40c2-96a6-7623f34211b3}</author>
    <author>tc={7089ce31-27de-4210-adb3-743e431eafdd}</author>
  </authors>
  <commentList>
    <comment authorId="0" xr:uid="{4f2dee66-f4f3-40c2-96a6-7623f34211b3}" ref="B17">
      <text>
        <t xml:space="preserve">[Threaded comment]
 Your version of Excel allows you to read this threaded comment; however, any edits to it will get removed if the file is opened in a newer version of Excel. Learn more: https://go.microsoft.com/fwlink/?linkid=870924
Comment:
	how about -1 movement instead of mana for 2 multihits and 3 uses?
or start the ability with 2 multihit and higher multiplayer on lowe item tier and 3 multihit with lower multiplayer on higher tier?
I don't think there is a very clean way for 1 ap multihit
Reply:
	No, Making it 3 MH base but 2 uses is very, very important, it's what's gonna balance it without making it terrible early. MH was busted with xbow due to each MH being +50% damage, and it having a lot of uses. Higher base MH and lower uses is the point.
I disagree on it being unclean, I think it's pretty clean, the inaccurate and opp multiplier effects are optional and mostly for flavor, can remove them if you don't like them. It costing mana is also optional tbh
I could make it manaless but lose the +opp modifier.
Reply:
	I think manaless but no opp would be better, it feels weird for a non magic weapon to use mana on skill 2
but yeah, 2 uses is the important balancing aspect
Reply:
	yeah, I can see that, it might also be that it looks like it doesn't know what to do since it can use any stat, maybe it should just focus on doing 1 thing instead of being able to do everything?
Reply:
	That's why i tried to give it opp, to focus more on the debuff/poison
But I've removed opp and mana cost, and gave opp to blaze instead.
</t>
      </text>
    </comment>
    <comment authorId="1" xr:uid="{7089ce31-27de-4210-adb3-743e431eafdd}" ref="A17">
      <text>
        <t xml:space="preserve">[Threaded comment]
 Your version of Excel allows you to read this threaded comment; however, any edits to it will get removed if the file is opened in a newer version of Excel. Learn more: https://go.microsoft.com/fwlink/?linkid=870924
Comment:
	I don't think dealing damage and applying poison at the same time makes too much sense
Reply:
	Why not? Orb does it, Sacred flower does it, bee sting does it.
Reply:
	Also dagger skill 3 does it
Reply:
	yeah, it makes the skills a little worse than if they just do poison, because the poison doesn't get applied if the enemy dies or dodges, but that's just a balancing factor
And Hand crossbow doesn't need skills that ignore even more defensive stats
Reply:
	I think the skill will remain fine, keeping it unchanged for now.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tc={9a3ce0c3-77f4-4eb3-8e63-392749dd3bb8}</author>
  </authors>
  <commentList>
    <comment authorId="0" xr:uid="{9a3ce0c3-77f4-4eb3-8e63-392749dd3bb8}" ref="A18">
      <text>
        <t xml:space="preserve">[Threaded comment]
 Your version of Excel allows you to read this threaded comment; however, any edits to it will get removed if the file is opened in a newer version of Excel. Learn more: https://go.microsoft.com/fwlink/?linkid=870924
Comment:
	I kinda liked the old one, not a fan of these changes
Reply:
	I can revert the skill 2 and 4 changes but I do think the -res debuff should go to the hammer, not crossbow
Reply:
	I almost think that crossbow just doesn't need any debuffs. Debuffs and using opportunism doesn't need to be something that every single weapon can do?
Reply:
	It does not need it, but since i want to put the -res on hammer i do think it could use something
It's generally fun if skills 1 and 2 have some spice.  I can always just increase the base damage of it further instead.
Reply:
	yeah, I thnk skill 2 shouldn't have isolation, it's the skill you use to make targets isolated since it has high damage, and it needs positioning, so it's harder to target isolated stragglers.
I'm not much of a fan of skill 4 in general, could it be like a side by side triple skill 3 for double the cost? or maker it look like an arrow head, reverse of pistol skill
Reply:
	Reverted the Skill 2 changes. As for skill 4, you have edit rights, so draw the aoe you're talking about. Though I'm not a fan of yet another grapeshot blast shape, we already have 3 of these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tc={b5d8d712-ab80-45a2-990f-2a9a6a1a7feb}</author>
  </authors>
  <commentList>
    <comment authorId="0" xr:uid="{b5d8d712-ab80-45a2-990f-2a9a6a1a7feb}" ref="C16">
      <text>
        <t xml:space="preserve">[Threaded comment]
 Your version of Excel allows you to read this threaded comment; however, any edits to it will get removed if the file is opened in a newer version of Excel. Learn more: https://go.microsoft.com/fwlink/?linkid=870924
Comment:
	I feel like it might need more damage, unless base damage already covers that, but pistol always felt weak for me
Reply:
	I think the base damage covers that well enough. It's one of the better skill 3s anyway.
Reply:
	grape shot is a very good skill, a base damage increase would improve it early and then late game it becomes great with proximity shot
Reply:
	yeah, I don't play with many "ranged" perks, since they tend to be ranged damage specific and kinda weird overall, the other perks are definitely more universal
Reply:
	Proximity shot is the only one that's ranged damage specific, and it's a very very good perk
Reply:
	maybe it's just me who likes to kill enemies at range with ranged damage instead of in melee :p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tc={0d936e32-0da0-446b-a664-e5632f4a7b21}</author>
  </authors>
  <commentList>
    <comment authorId="0" xr:uid="{0d936e32-0da0-446b-a664-e5632f4a7b21}" ref="A16">
      <text>
        <t xml:space="preserve">[Threaded comment]
 Your version of Excel allows you to read this threaded comment; however, any edits to it will get removed if the file is opened in a newer version of Excel. Learn more: https://go.microsoft.com/fwlink/?linkid=870924
Comment:
	I don't like this change, I think it makes more sense to exchange the scattershot to longbow (since it's "inaccurate" at long range) and bring the arctic stun to shortbow and have skill 1 to be opportunistic.
Have shortbow be a good horde killer and longbow be good at picking enemies off
Reply:
	Long bow already has snipe shot for picking enemies off, and shortbow's skill 4 is literally about creating isolated targets. Giving shortbow arctic blast would also mean it has skill 3 and 4 that basically do the same thing, which is lame.
Reply:
	but short bow can't pick enemies off since it has short range, that is why longbow is good at picking off stragglers, also you want to debuff a group of enemies to stop the from advancing so it would make sense to have shortbow have opportunism to finish those enemies off
Reply:
	Shortbow has 8 base range, that is not low. It also has only 1 use of a debuff skill compared to longbow's 4.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tc={0b656c85-a37c-4211-8052-1b2bad385a1d}</author>
    <author>tc={24da7b7e-8cfa-4f1d-96ef-1acf74cd60a2}</author>
    <author>tc={3dda800e-d4b3-40d9-91ed-d0055836c71e}</author>
    <author>tc={68b32a4a-ae1d-4581-9fc0-d7d3828f3383}</author>
  </authors>
  <commentList>
    <comment authorId="0" xr:uid="{0b656c85-a37c-4211-8052-1b2bad385a1d}" ref="C16">
      <text>
        <t xml:space="preserve">[Threaded comment]
 Your version of Excel allows you to read this threaded comment; however, any edits to it will get removed if the file is opened in a newer version of Excel. Learn more: https://go.microsoft.com/fwlink/?linkid=870924
Comment:
	I think it could reduce armor or resistance as well as move instead of extra damage
Reply:
	This is only to compensate for the damage nerf really, I think the skill itself is fine. 10 targets is a lot.
</t>
      </text>
    </comment>
    <comment authorId="1" xr:uid="{24da7b7e-8cfa-4f1d-96ef-1acf74cd60a2}" ref="D16">
      <text>
        <t xml:space="preserve">[Threaded comment]
 Your version of Excel allows you to read this threaded comment; however, any edits to it will get removed if the file is opened in a newer version of Excel. Learn more: https://go.microsoft.com/fwlink/?linkid=870924
Comment:
	I would keep it at 1 use and high cost, just make sure it kills whatever it targets, with high damage, I would even say it should have high damage multiplayer and like 80-90% isolation + opportunitism effectiveness
Reply:
	Keeping it 2 ap and 1 use Makes it far, far worse than the scroll variant. I intend to rework it into a high-effort, more costly but also a lot more damaging snipe shot, and making it 2 ap would just make it worse than snipe shot.
Reply:
	yeah, asssasinate just sounds quite heavy and so does rifle, it just feels like it's beccomming more of a prickle shot.
It sounds like it should be good against hight hp enemies like elites, which you might not meet 2 off.
but I think assassinate sounds better if you don't have to put that much work into it?
Reply:
	What do you mean prickle shot? It's a pretty major damage buff compared to what we had previously.
I think setting up assassination is pretty thematic personally, and that's where the heaviness can come from.
</t>
      </text>
    </comment>
    <comment authorId="2" xr:uid="{3dda800e-d4b3-40d9-91ed-d0055836c71e}" ref="B16">
      <text>
        <t xml:space="preserve">[Threaded comment]
 Your version of Excel allows you to read this threaded comment; however, any edits to it will get removed if the file is opened in a newer version of Excel. Learn more: https://go.microsoft.com/fwlink/?linkid=870924
Comment:
	I think the opportunism fits here
Reply:
	Maybe, but i put opportunism on assassinate instead. This is basically a strict buff, since 0.7 * 1.25 = 0.875
Reply:
	it can't have 2 sources of opportunitism like power staff?
Reply:
	Power staff has 1 opp skill, only skill 3
It can have 2 anyway but I think it'll feel better with only 1.
</t>
      </text>
    </comment>
    <comment authorId="3" xr:uid="{68b32a4a-ae1d-4581-9fc0-d7d3828f3383}" ref="A16">
      <text>
        <t xml:space="preserve">[Threaded comment]
 Your version of Excel allows you to read this threaded comment; however, any edits to it will get removed if the file is opened in a newer version of Excel. Learn more: https://go.microsoft.com/fwlink/?linkid=870924
Comment:
	is this also instead of the new propagation?
I think undogeable makes sense since it's a high cost skill, maybe secondary targets for damage or debuff (armor/dodge/resistance)?
Reply:
	No, it's with the new propagation, and the assumption that it loses the -prop damage debuff
I removed undodgeable to put it on assassinate, as it really needs it
I think armor piercing is a stronger modifier than undodgeable, especially for this skill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tc={74d03614-2fa8-49e4-9421-dfa41027536e}</author>
  </authors>
  <commentList>
    <comment authorId="0" xr:uid="{74d03614-2fa8-49e4-9421-dfa41027536e}" ref="D17">
      <text>
        <t xml:space="preserve">[Threaded comment]
 Your version of Excel allows you to read this threaded comment; however, any edits to it will get removed if the file is opened in a newer version of Excel. Learn more: https://go.microsoft.com/fwlink/?linkid=870924
Comment:
	don't understand/unfinished
what if you removed damage from all skills, and have the perk deal damage to all stunned targets within range at the end of turn (when the boomerang  comes back)?
Reply:
	My bad, was meant to be "After the hero stuns 3 enemies, boomerang's side tiles become main tiles"
I want to get rid of the ricochet entirely because it makes it feel like it plays the game for you. Removing damage from all skills would double down on that feeling.
Reply:
	so you would have to use skill 1 before using skills 2 and 3 (if it's only 1 use that would be horrible?)
I don't know, doesn't sound exciting.
Also you remove multihit and propagation and not add anything, sounds weak.
Reply:
	no, you can still stun with skills 2 and 3, or other sources. And while i did remove prop, i added damage, quite a lot of it in fact. I don't think skill 3 with 1.75x damage mod and like 20 targets is weak. or 1 ap 1 mana 7 targets 1.6 damage mod. The most similar weapon to it would probably be gauntlet i think.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tc={98312fb1-08e6-4187-bcb4-118725961791}</author>
  </authors>
  <commentList>
    <comment authorId="0" xr:uid="{98312fb1-08e6-4187-bcb4-118725961791}" ref="B18">
      <text>
        <t xml:space="preserve">[Threaded comment]
 Your version of Excel allows you to read this threaded comment; however, any edits to it will get removed if the file is opened in a newer version of Excel. Learn more: https://go.microsoft.com/fwlink/?linkid=870924
Comment:
	I would just make the buff skill have higher range, increase momentum and scale movement 2/3/4/5
Reply:
	So you want to nerf it early? It already grants 3 movement at tier 0. 
The big problem with wind walk is that its boring, already covered by a trinket skill, and basically worse than transfer as a support skill. Shocking touch is a scepter's old skill that's already in the game files, and I think it'll be a better fit for the weapon. But if it turns out to be bad, why not, we'll bring back wind walk.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tc={a9931f2c-bf55-4377-b1fc-cabb364fbc58}</author>
  </authors>
  <commentList>
    <comment authorId="0" xr:uid="{a9931f2c-bf55-4377-b1fc-cabb364fbc58}" ref="D16">
      <text>
        <t xml:space="preserve">[Threaded comment]
 Your version of Excel allows you to read this threaded comment; however, any edits to it will get removed if the file is opened in a newer version of Excel. Learn more: https://go.microsoft.com/fwlink/?linkid=870924
Comment:
	not sure the change to skill 3 is enough maybe it should deal damage to the center tile,
still feels like skill 4 is too strong, and anti synergistic by dealing damage and applying poison
Reply:
	The skill 3 debuff is underrated, as demonstrated already by longbow's skill 2, it was just too expensive
I think bee sting is fine, Why do you think applying damage and poison is anti-synergistic? it's perfectly fine.
Reply:
	if you get +poison or just +damage you buff only half of the skill, similar with other stats/perks that affects damage or poison/debuffs.
you want to apply poison to go through the enemies armor, but you deal enough damage to break that armor or the resistant guy just dies and doesn't get the poison.
It's kind of if a skill did some ranged damage and then it also did some physical damage, the benefit of doing physical damage (armor breaking) would go to waste
Reply:
	That's less anti-synergy and more just normal lack of synergy. Some damage can get wasted but it's not harmful. Not every enemy has armor. It's also just common enough to not be a big deal.
</t>
      </text>
    </comment>
  </commentList>
</comments>
</file>

<file path=xl/sharedStrings.xml><?xml version="1.0" encoding="utf-8"?>
<sst xmlns="http://schemas.openxmlformats.org/spreadsheetml/2006/main" count="714" uniqueCount="208">
  <si>
    <t>Note: Normal variants use levels 0 to 5, wooden/novice/rusty variants use levels -1 to 4</t>
  </si>
  <si>
    <t>Damage Changes</t>
  </si>
  <si>
    <t>Level</t>
  </si>
  <si>
    <t>old min damage</t>
  </si>
  <si>
    <t>old max damage</t>
  </si>
  <si>
    <t>old avg damage</t>
  </si>
  <si>
    <t>new min damage</t>
  </si>
  <si>
    <t>new max damage</t>
  </si>
  <si>
    <t>new avg damage (baseline)</t>
  </si>
  <si>
    <t>spread</t>
  </si>
  <si>
    <t>Skill Changes</t>
  </si>
  <si>
    <t>Skill 1</t>
  </si>
  <si>
    <t>Skill 2</t>
  </si>
  <si>
    <t>Skill 3</t>
  </si>
  <si>
    <t xml:space="preserve"> +5% base momentum</t>
  </si>
  <si>
    <t>No Change</t>
  </si>
  <si>
    <t>-1 mana cost</t>
  </si>
  <si>
    <t>Variants</t>
  </si>
  <si>
    <t xml:space="preserve">Steel </t>
  </si>
  <si>
    <t xml:space="preserve">Silver </t>
  </si>
  <si>
    <t xml:space="preserve">Mythril </t>
  </si>
  <si>
    <t>Adamantium</t>
  </si>
  <si>
    <t>3-8 momentum to 5-10 momentum</t>
  </si>
  <si>
    <t>20-40 armor to 6-12% physical damage</t>
  </si>
  <si>
    <t>no changes (+1/2 skill range)</t>
  </si>
  <si>
    <t>1-2 ap to 1-2 move points and 6-12% dodge</t>
  </si>
  <si>
    <t>now aplies -10% resistance debuff for 1 turn</t>
  </si>
  <si>
    <t>No changes</t>
  </si>
  <si>
    <t>Increase stun chance to 100 on the main tile</t>
  </si>
  <si>
    <t>5-15% stun chance to 10-20% stun chance</t>
  </si>
  <si>
    <t>5-15 opportunism to 15-30 xp gain</t>
  </si>
  <si>
    <t>5-15 block to 10-20 block</t>
  </si>
  <si>
    <t>1-3 movepoints to 11-22% opportunism</t>
  </si>
  <si>
    <t>Now has a 3x3 aoe, centered around the bottom-center tile</t>
  </si>
  <si>
    <t>dmg mod to 1.45x from 1.4x</t>
  </si>
  <si>
    <t>New skill 2 aoe</t>
  </si>
  <si>
    <t>Variants:</t>
  </si>
  <si>
    <t>Steel</t>
  </si>
  <si>
    <t>silver</t>
  </si>
  <si>
    <t>mythril</t>
  </si>
  <si>
    <t>adamantium</t>
  </si>
  <si>
    <t>15-50 health and 6-16 daily hp regen to 40-80 hp and 8-16 daily hp regen</t>
  </si>
  <si>
    <t>12-27% critical power to 15-30% reliability</t>
  </si>
  <si>
    <t>15-30% reliability to 25-50 critical power</t>
  </si>
  <si>
    <t>10-25% opportunism to 11-22% opportunism</t>
  </si>
  <si>
    <t>Base stat penalties/bonuses</t>
  </si>
  <si>
    <t>Refreshes +1 move point</t>
  </si>
  <si>
    <t>Added a 1.2x opportunist multiplier</t>
  </si>
  <si>
    <t>no changes</t>
  </si>
  <si>
    <t>Remove them</t>
  </si>
  <si>
    <t>unchanged (10-20) isolation</t>
  </si>
  <si>
    <t xml:space="preserve">11-26% poison damage to 15-30% poison damage </t>
  </si>
  <si>
    <t>unchanged (skill range)</t>
  </si>
  <si>
    <t>From combination of crit and mp to 9-18 critical</t>
  </si>
  <si>
    <t>Skill 4</t>
  </si>
  <si>
    <t xml:space="preserve"> +5 base momentum</t>
  </si>
  <si>
    <t xml:space="preserve"> +5 base momentum, Remove movement cost, increase mana cost to 3</t>
  </si>
  <si>
    <t>3-8 momentum to 7-15 resistance reduction</t>
  </si>
  <si>
    <t>6-16 resistance to 6-12 crit chance</t>
  </si>
  <si>
    <t>6-21 accuracy to 8-16% physical damage</t>
  </si>
  <si>
    <t>6-21 resistance reduction to 8-16 momentum</t>
  </si>
  <si>
    <t xml:space="preserve"> +1 use</t>
  </si>
  <si>
    <t>5-15 opportunism to 7-15 opportunism</t>
  </si>
  <si>
    <t>2-7 propagation damage to 10-20 stun chance</t>
  </si>
  <si>
    <t>10-20 stun chance to 4-8 propagation damage</t>
  </si>
  <si>
    <t>No change (skill range)</t>
  </si>
  <si>
    <t xml:space="preserve">Now gives   -10/11/12/13/14/15 dodge debuff to ALL tiles for 2 turns instead of -2 move points for 1 turn to secondary tiles </t>
  </si>
  <si>
    <t>5-15 accuracy to 6-12 accuracy</t>
  </si>
  <si>
    <t>12-27 critical power to 40-80 hp and 8-16 daily hp regen</t>
  </si>
  <si>
    <t>15-20 reliability to 25-50 reliability</t>
  </si>
  <si>
    <t>15-50 hp and daily hp regen to 9-18 critical</t>
  </si>
  <si>
    <t>new skill 1 aoe</t>
  </si>
  <si>
    <t>Added a 4th primary tile</t>
  </si>
  <si>
    <t>dmg mod to 1.15x</t>
  </si>
  <si>
    <t>20-40 armor to 6-12 physical damage</t>
  </si>
  <si>
    <t>7-12 mana and 3-5 mana regen to 7-15 mana and 2-4 mana regen</t>
  </si>
  <si>
    <t>1-3 move points to 1-2 move points and 6-12 dodge</t>
  </si>
  <si>
    <t>1 ap to 8-16 momentum</t>
  </si>
  <si>
    <t>New Skill 3 aoe:</t>
  </si>
  <si>
    <t>Perk:</t>
  </si>
  <si>
    <t>Damage modifier to 1.2x, block buff to 7/8/9/10/12/14 for 2 turns</t>
  </si>
  <si>
    <t>-1 use per turn, New AOE, main tile damage mod to 1.1x, side tile damage mod to 0.55, debuff to -50% damage</t>
  </si>
  <si>
    <t>damage modifier to 1.3x, Mana cost to 5</t>
  </si>
  <si>
    <t>Damage bonus when getting hit increased to 12% from 8%</t>
  </si>
  <si>
    <t>-20% dodge from -10%</t>
  </si>
  <si>
    <t>20-40 armor to 7-15 block</t>
  </si>
  <si>
    <t>Replaced crit power with 40-80 hp and 8-16 daily hp regen</t>
  </si>
  <si>
    <t>5-15 block to 35-70 armor and 5-10 resistance</t>
  </si>
  <si>
    <t>1 ap to 11-22 resistance reduction</t>
  </si>
  <si>
    <t>Perk</t>
  </si>
  <si>
    <t>Physical damage buff from 8-12 to 12-18</t>
  </si>
  <si>
    <t>Decrease the damage penalty to -35%, decrease the amount of isolated hits needed to activate the perk to 2</t>
  </si>
  <si>
    <t>15-x critical power to 15-30 critical power</t>
  </si>
  <si>
    <t>5-15 crit to 6-12 crit</t>
  </si>
  <si>
    <t>1-2 move points to 15-30 isolation</t>
  </si>
  <si>
    <t>no change (1-2 skill range)</t>
  </si>
  <si>
    <t>Reworked to: a skill: Slow death, 1ap, deals base damage and inflicts 60 additional poison for 3 turns. 4 uses per turn</t>
  </si>
  <si>
    <t>Reworked to: Quickshot: 1 ap, 3 multihits
2 uses, inaccurate 2x</t>
  </si>
  <si>
    <t>Added a 1.25x opportunist multiplier</t>
  </si>
  <si>
    <t>5 resistance reduction to 7-14 resistance reduction</t>
  </si>
  <si>
    <t>11-26 poison damage to 15-30 poison damage</t>
  </si>
  <si>
    <t>no changes (1-2 prop bounces)</t>
  </si>
  <si>
    <t xml:space="preserve"> +1 multihit to +9-18 accuracy</t>
  </si>
  <si>
    <t>Replaced resistance debuff with -1 movement debuff, -1 use</t>
  </si>
  <si>
    <t xml:space="preserve"> +1 use  </t>
  </si>
  <si>
    <t>7-12 mana, 3-5 mana regen to 7-15 mana, 2-4 mana regen</t>
  </si>
  <si>
    <t>5-15 accuracy to 6-12 crit</t>
  </si>
  <si>
    <t>6-16 crit to 9-18 accuracy</t>
  </si>
  <si>
    <t xml:space="preserve"> +1/3 move to 9-18 ranged damage</t>
  </si>
  <si>
    <t>Base</t>
  </si>
  <si>
    <t>Base momentum to 25 from 20</t>
  </si>
  <si>
    <t>Increased isolation modifier to 1.5x</t>
  </si>
  <si>
    <t>No change</t>
  </si>
  <si>
    <t>Removed the +15% crit damage modifier</t>
  </si>
  <si>
    <t>6-16 dodge to 6-12 crit</t>
  </si>
  <si>
    <t>3 momentum to 6-12 momentum</t>
  </si>
  <si>
    <t>6-16 crit to 25-50 crit power</t>
  </si>
  <si>
    <t xml:space="preserve"> +1/3 move to +1/2 move and 6-12 dodge</t>
  </si>
  <si>
    <t>added isolation modifier 1.35x</t>
  </si>
  <si>
    <t xml:space="preserve"> -1 skill range, now has armor piercing, damage mod to 1.65x</t>
  </si>
  <si>
    <t>damage mod to 1.15x</t>
  </si>
  <si>
    <t>damage mod increased to 1.85x</t>
  </si>
  <si>
    <t>10-25 xp gain to 15-30 xp gain</t>
  </si>
  <si>
    <t>15-30 reliability to 1-2 skill range</t>
  </si>
  <si>
    <t>8-18 damage to 15-30 isolation</t>
  </si>
  <si>
    <t>Remove isolation multiplier, add 1.25x opportunist multiplier</t>
  </si>
  <si>
    <t>Remove the -10% reliability</t>
  </si>
  <si>
    <t>5-15 stun to 6-12 acc</t>
  </si>
  <si>
    <t>9-24 isolation to 7-15 opportunism</t>
  </si>
  <si>
    <t>6-16 acc to 15-30 stun chance</t>
  </si>
  <si>
    <t>skill range to 25-50 reliability</t>
  </si>
  <si>
    <t>Switches with skill 2, loses undodgeable, gains propagation x2, dmg mod to 0.8x, loses 4 range</t>
  </si>
  <si>
    <t>switches places with skill 1, Dmg mod to 1.0x, no longer has opportunism multiplier</t>
  </si>
  <si>
    <t>Reworked to: 2 uses, 1 ap 2 mana, 2 move points, damage mod: 1.25x, 1.5x isolation multiplier, 1.5x opportunism multiplier, undodgeable.</t>
  </si>
  <si>
    <t>Remove the -1 move speed</t>
  </si>
  <si>
    <t>isolation to 10-20 isolation</t>
  </si>
  <si>
    <t>opportunism to 7-15 opportunism</t>
  </si>
  <si>
    <t>resistance reduction to 11-22 res reduction</t>
  </si>
  <si>
    <t>action points to propagation bounces</t>
  </si>
  <si>
    <t>Reworked to: 2 uses per turn, 1 ap 2 mana, damage mod 1,0x, No longer deals damage on side tiles, the main tile now gets momentum 15% and no longer stuns</t>
  </si>
  <si>
    <t>Damage mod increased to 1.0x</t>
  </si>
  <si>
    <t>Increased fireblast damage from 82-130 to 170-340 BUT
- The base hp cost gets increased to 12 (so 16 with rocket jump)
- Using the fire blast sets heat to 0
- Decreased Cooldown per turn to 4</t>
  </si>
  <si>
    <t xml:space="preserve"> +10 reliability to: 15-30 reliability</t>
  </si>
  <si>
    <t xml:space="preserve"> +5 stun chance to 10-20 stun chance</t>
  </si>
  <si>
    <t xml:space="preserve"> +15 healh and hp regen to: 50-100 hp and 16-32 hp regen</t>
  </si>
  <si>
    <t xml:space="preserve"> +1 multi hits to: 9-18 momentum</t>
  </si>
  <si>
    <t>Min damage *1.7</t>
  </si>
  <si>
    <t>Max damage *1.7</t>
  </si>
  <si>
    <t>Reworked to: 1 ap non-multihit skill with 50% base stun chance. 5 uses</t>
  </si>
  <si>
    <t>New AOE, costs 2 mana, main damage modifier to 1.35x, Removed stun and added a 30/32/34/36/38/40% accuracy debuff on the main tile and 15/17/19/21/23/25 accuracy debuff on the secondary tile</t>
  </si>
  <si>
    <t>Damage mod to 1.7x, Costs 5 mana, main tiles also have a chance to stun for 45%</t>
  </si>
  <si>
    <t>Reworked to: Strong throw: After the hero Damages 4 enemies boomerang skills, for the next boomerang's skill, side tiles become main tiles, precision targeting gets x2 multihit</t>
  </si>
  <si>
    <t>Skill 2 AOE</t>
  </si>
  <si>
    <t xml:space="preserve"> +2% prop damage to 7-15 resistance reduction</t>
  </si>
  <si>
    <t xml:space="preserve"> +4 crit chance to 6-12 crit chance</t>
  </si>
  <si>
    <t xml:space="preserve"> +10 stun chance to 15-30 stun chance</t>
  </si>
  <si>
    <t xml:space="preserve"> +1 propagation bounces to: 11-22 opportunism</t>
  </si>
  <si>
    <t>Now grants a 5% damage buff that lasts 1 turn</t>
  </si>
  <si>
    <t>No longer grants a damage buff, purges all debuffs from target</t>
  </si>
  <si>
    <t>dmg mod 0.75x, 5 base multihits</t>
  </si>
  <si>
    <t>Journeyman</t>
  </si>
  <si>
    <t>Adept</t>
  </si>
  <si>
    <t>Master's</t>
  </si>
  <si>
    <t>Archmaster's</t>
  </si>
  <si>
    <t>10-35 xp gain to 15-30 xp gain</t>
  </si>
  <si>
    <t>10-20 reliability to 15-30 reliability</t>
  </si>
  <si>
    <t xml:space="preserve"> no change (1-2 skill range)</t>
  </si>
  <si>
    <t xml:space="preserve"> +1/2 MH to +9-18crit</t>
  </si>
  <si>
    <t>Base momentum increased to 35</t>
  </si>
  <si>
    <t xml:space="preserve">Reworked to shocking touch: 2 uses, melee range, 1.5x damage main tile, 0.5x side tile,  1 ap 1 mana cost, refreshes 4 move points, debuffs accuracy by 10/11/12/13/14/15% </t>
  </si>
  <si>
    <t xml:space="preserve">Stun chance increased to 70% </t>
  </si>
  <si>
    <t>3-8 momentum to 6-12 momentum</t>
  </si>
  <si>
    <t>8-16 dodge to 10-20 chance to stun</t>
  </si>
  <si>
    <t>10-20 chance to stun to 4-8 propagation damage</t>
  </si>
  <si>
    <t xml:space="preserve"> +1-2 skill range to +1/2 move points and 6-12 dodge</t>
  </si>
  <si>
    <t>Skill 2 aoe</t>
  </si>
  <si>
    <t>DMG mod to 1.35x</t>
  </si>
  <si>
    <t>DMG mod to 1.6x</t>
  </si>
  <si>
    <t>2-7% prop damage to 6-12 magic damage</t>
  </si>
  <si>
    <t>15-30 reliability to 25-50 reliability</t>
  </si>
  <si>
    <t xml:space="preserve"> no change (+1/2 prop bounces)</t>
  </si>
  <si>
    <t>Base Health penalty</t>
  </si>
  <si>
    <t>Now also grants +10% poison damage for 1 turn</t>
  </si>
  <si>
    <t>Remove it</t>
  </si>
  <si>
    <t>5-10 crit to: 7-15 opportunism</t>
  </si>
  <si>
    <t>no change (10-20 isolation)</t>
  </si>
  <si>
    <t>15-35% poison damage to 25-50 poison damage</t>
  </si>
  <si>
    <t xml:space="preserve">8-18 mana and 4-8 mana regen to 12-24 mana and 6-12 mana regen 
</t>
  </si>
  <si>
    <t>20-40 armor to: 6-12 magic damage</t>
  </si>
  <si>
    <t>10-20 stun chance to 20-30 stun chance</t>
  </si>
  <si>
    <t xml:space="preserve">1-3 move points to 1-2 move poinst and 6-12 dodge
</t>
  </si>
  <si>
    <t>Skill 2 (entangle)</t>
  </si>
  <si>
    <t>Skill 3 (acid spray)</t>
  </si>
  <si>
    <t>5-15 opportunism to 6-12 magic damage</t>
  </si>
  <si>
    <t>15-35 poison to 25-50 poison</t>
  </si>
  <si>
    <t xml:space="preserve">1-2 ap to: 11-22 opportunism
</t>
  </si>
  <si>
    <t>opportunist multiplier decreased to 1.4x from 1.6x</t>
  </si>
  <si>
    <t>Increase damage mod to 1.7x, no longer uses orthogonal targeting</t>
  </si>
  <si>
    <t xml:space="preserve"> +5%-15 opp to 7-15% </t>
  </si>
  <si>
    <t xml:space="preserve"> +7-14 mana 3-5 mana regen to 6-12 accuracy</t>
  </si>
  <si>
    <t xml:space="preserve"> +1/2 skill range to +4/8 prop damage</t>
  </si>
  <si>
    <t xml:space="preserve">Skill 2 </t>
  </si>
  <si>
    <t xml:space="preserve">Skill 3 </t>
  </si>
  <si>
    <t>Decrease the plague poison scaling from 3 +1 per 3 hero levels to 3 + 1 per 6 hero levels</t>
  </si>
  <si>
    <t xml:space="preserve"> +5% opp to: 7-15 opp</t>
  </si>
  <si>
    <t xml:space="preserve"> +11 poison damage to: 40-80 health and 8-16 health regen</t>
  </si>
  <si>
    <t xml:space="preserve"> +7 mana 3 daily mana regen to: 12-24 mana and 4-8 mana regen</t>
  </si>
  <si>
    <t xml:space="preserve"> +8 resistance/hp to 1/2 skill range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</si>
</sst>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font>
      <color rgb="FFFF0000"/>
      <name val="Arial"/>
      <scheme val="minor"/>
    </font>
    <font>
      <color theme="1"/>
      <name val="Arial"/>
    </font>
    <font>
      <color rgb="FFFF0000"/>
      <name val="Arial"/>
    </font>
    <font>
      <b/>
      <color theme="1"/>
      <name val="Arial"/>
      <scheme val="minor"/>
    </font>
    <font>
      <color rgb="FF0000FF"/>
      <name val="Arial"/>
      <scheme val="minor"/>
    </font>
  </fonts>
  <fills count="8">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4A86E8"/>
        <bgColor rgb="FF4A86E8"/>
      </patternFill>
    </fill>
    <fill>
      <patternFill patternType="solid">
        <fgColor rgb="FF00FF00"/>
        <bgColor rgb="FF00FF00"/>
      </patternFill>
    </fill>
    <fill>
      <patternFill patternType="solid">
        <fgColor rgb="FF00FFFF"/>
        <bgColor rgb="FF00FFFF"/>
      </patternFill>
    </fill>
    <fill>
      <patternFill patternType="solid">
        <fgColor rgb="FF0000FF"/>
        <bgColor rgb="FF0000FF"/>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bottom style="thin">
        <color rgb="FF000000"/>
      </bottom>
    </border>
    <border>
      <left style="thin">
        <color rgb="FF000000"/>
      </left>
      <right style="thin">
        <color rgb="FF000000"/>
      </right>
      <top style="thin">
        <color rgb="FF000000"/>
      </top>
    </border>
    <border>
      <top style="thin">
        <color rgb="FF000000"/>
      </top>
    </border>
    <border>
      <left style="thin">
        <color rgb="FF000000"/>
      </left>
      <right style="thin">
        <color rgb="FF000000"/>
      </right>
    </border>
    <border>
      <left style="thin">
        <color rgb="FF000000"/>
      </left>
      <bottom style="thin">
        <color rgb="FF000000"/>
      </bottom>
    </border>
    <border>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readingOrder="0"/>
    </xf>
    <xf borderId="2" fillId="0" fontId="1" numFmtId="0" xfId="0" applyAlignment="1" applyBorder="1" applyFont="1">
      <alignment readingOrder="0"/>
    </xf>
    <xf borderId="3" fillId="0" fontId="2" numFmtId="0" xfId="0" applyBorder="1" applyFont="1"/>
    <xf borderId="4" fillId="0" fontId="2" numFmtId="0" xfId="0" applyBorder="1" applyFont="1"/>
    <xf borderId="1" fillId="0" fontId="1" numFmtId="0" xfId="0" applyBorder="1" applyFont="1"/>
    <xf borderId="0" fillId="0" fontId="1" numFmtId="0" xfId="0" applyAlignment="1" applyFont="1">
      <alignment horizontal="left"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xf borderId="5" fillId="0" fontId="1" numFmtId="0" xfId="0" applyAlignment="1" applyBorder="1" applyFont="1">
      <alignment readingOrder="0"/>
    </xf>
    <xf borderId="0" fillId="0" fontId="3" numFmtId="0" xfId="0" applyFont="1"/>
    <xf borderId="1" fillId="0" fontId="1" numFmtId="0" xfId="0" applyAlignment="1" applyBorder="1" applyFont="1">
      <alignment readingOrder="0" shrinkToFit="0" wrapText="1"/>
    </xf>
    <xf borderId="1" fillId="0" fontId="1" numFmtId="0" xfId="0" applyAlignment="1" applyBorder="1" applyFont="1">
      <alignment readingOrder="0" shrinkToFit="0" vertical="top" wrapText="1"/>
    </xf>
    <xf borderId="5" fillId="0" fontId="1" numFmtId="0" xfId="0" applyBorder="1" applyFont="1"/>
    <xf borderId="5" fillId="0" fontId="1" numFmtId="0" xfId="0" applyAlignment="1" applyBorder="1" applyFont="1">
      <alignment readingOrder="0" shrinkToFit="0" wrapText="1"/>
    </xf>
    <xf borderId="0" fillId="2" fontId="1" numFmtId="0" xfId="0" applyFill="1" applyFont="1"/>
    <xf borderId="0" fillId="2" fontId="3" numFmtId="0" xfId="0" applyFont="1"/>
    <xf borderId="0" fillId="0" fontId="4" numFmtId="0" xfId="0" applyAlignment="1" applyFont="1">
      <alignment vertical="bottom"/>
    </xf>
    <xf borderId="0" fillId="2" fontId="4" numFmtId="0" xfId="0" applyAlignment="1" applyFont="1">
      <alignment vertical="bottom"/>
    </xf>
    <xf borderId="0" fillId="0" fontId="5" numFmtId="0" xfId="0" applyAlignment="1" applyFont="1">
      <alignment vertical="bottom"/>
    </xf>
    <xf borderId="0" fillId="0" fontId="1" numFmtId="0" xfId="0" applyAlignment="1" applyFont="1">
      <alignment readingOrder="0" shrinkToFit="0" vertical="top" wrapText="1"/>
    </xf>
    <xf borderId="6" fillId="0" fontId="1" numFmtId="0" xfId="0" applyAlignment="1" applyBorder="1" applyFont="1">
      <alignment readingOrder="0"/>
    </xf>
    <xf borderId="2" fillId="0" fontId="1" numFmtId="0" xfId="0" applyAlignment="1" applyBorder="1" applyFont="1">
      <alignment readingOrder="0" shrinkToFit="0" vertical="top" wrapText="1"/>
    </xf>
    <xf borderId="6" fillId="0" fontId="1" numFmtId="0" xfId="0" applyAlignment="1" applyBorder="1" applyFont="1">
      <alignment readingOrder="0" shrinkToFit="0" vertical="top" wrapText="1"/>
    </xf>
    <xf borderId="7" fillId="0" fontId="1" numFmtId="0" xfId="0" applyAlignment="1" applyBorder="1" applyFont="1">
      <alignment readingOrder="0" shrinkToFit="0" wrapText="1"/>
    </xf>
    <xf borderId="8" fillId="0" fontId="1" numFmtId="0" xfId="0" applyAlignment="1" applyBorder="1" applyFont="1">
      <alignment readingOrder="0" shrinkToFit="0" vertical="top" wrapText="1"/>
    </xf>
    <xf borderId="0" fillId="3" fontId="1" numFmtId="0" xfId="0" applyFill="1" applyFont="1"/>
    <xf borderId="5" fillId="0" fontId="1" numFmtId="0" xfId="0" applyAlignment="1" applyBorder="1" applyFont="1">
      <alignment readingOrder="0" shrinkToFit="0" vertical="top" wrapText="1"/>
    </xf>
    <xf borderId="7" fillId="0" fontId="1" numFmtId="0" xfId="0" applyAlignment="1" applyBorder="1" applyFont="1">
      <alignment readingOrder="0" shrinkToFit="0" vertical="top" wrapText="1"/>
    </xf>
    <xf borderId="0" fillId="4" fontId="1" numFmtId="0" xfId="0" applyFill="1" applyFont="1"/>
    <xf borderId="0" fillId="5" fontId="1" numFmtId="0" xfId="0" applyFill="1" applyFont="1"/>
    <xf borderId="0" fillId="0" fontId="6" numFmtId="0" xfId="0" applyFont="1"/>
    <xf borderId="0" fillId="0" fontId="1" numFmtId="0" xfId="0" applyAlignment="1" applyFont="1">
      <alignment readingOrder="0" shrinkToFit="0" wrapText="1"/>
    </xf>
    <xf borderId="1" fillId="0" fontId="1" numFmtId="0" xfId="0" applyAlignment="1" applyBorder="1" applyFont="1">
      <alignment readingOrder="0" vertical="top"/>
    </xf>
    <xf borderId="0" fillId="3" fontId="3" numFmtId="0" xfId="0" applyFont="1"/>
    <xf borderId="9" fillId="0" fontId="1" numFmtId="0" xfId="0" applyAlignment="1" applyBorder="1" applyFont="1">
      <alignment readingOrder="0"/>
    </xf>
    <xf borderId="0" fillId="0" fontId="1" numFmtId="0" xfId="0" applyAlignment="1" applyFont="1">
      <alignment readingOrder="0" vertical="top"/>
    </xf>
    <xf borderId="0" fillId="0" fontId="1" numFmtId="0" xfId="0" applyFont="1"/>
    <xf borderId="0" fillId="6" fontId="1" numFmtId="0" xfId="0" applyFill="1" applyFont="1"/>
    <xf borderId="0" fillId="7" fontId="3" numFmtId="0" xfId="0" applyFill="1" applyFont="1"/>
    <xf borderId="0" fillId="7" fontId="7" numFmtId="0" xfId="0" applyFont="1"/>
    <xf borderId="1" fillId="0" fontId="4" numFmtId="0" xfId="0" applyAlignment="1" applyBorder="1" applyFont="1">
      <alignment vertical="bottom"/>
    </xf>
    <xf borderId="2" fillId="0" fontId="4" numFmtId="0" xfId="0" applyAlignment="1" applyBorder="1" applyFont="1">
      <alignment vertical="bottom"/>
    </xf>
    <xf borderId="1" fillId="0" fontId="4" numFmtId="0" xfId="0" applyAlignment="1" applyBorder="1" applyFont="1">
      <alignment vertical="bottom"/>
    </xf>
    <xf borderId="0" fillId="0" fontId="4" numFmtId="0" xfId="0" applyAlignment="1" applyFont="1">
      <alignment readingOrder="0" vertical="bottom"/>
    </xf>
    <xf borderId="0" fillId="0" fontId="4" numFmtId="0" xfId="0" applyAlignment="1" applyFont="1">
      <alignment readingOrder="0" vertical="bottom"/>
    </xf>
    <xf borderId="0" fillId="0" fontId="4" numFmtId="0" xfId="0" applyAlignment="1" applyFont="1">
      <alignment horizontal="left" readingOrder="0" shrinkToFit="0" vertical="bottom" wrapText="0"/>
    </xf>
    <xf borderId="0" fillId="0" fontId="4" numFmtId="0" xfId="0" applyAlignment="1" applyFont="1">
      <alignment horizontal="left" readingOrder="0" shrinkToFit="0" vertical="bottom" wrapText="0"/>
    </xf>
    <xf borderId="1" fillId="0" fontId="4" numFmtId="0" xfId="0" applyAlignment="1" applyBorder="1" applyFont="1">
      <alignment horizontal="right" shrinkToFit="0" vertical="bottom" wrapText="0"/>
    </xf>
    <xf borderId="1" fillId="0" fontId="4" numFmtId="0" xfId="0" applyAlignment="1" applyBorder="1" applyFont="1">
      <alignment horizontal="right" readingOrder="0" shrinkToFit="0" vertical="bottom" wrapText="0"/>
    </xf>
    <xf borderId="1" fillId="0" fontId="4" numFmtId="0" xfId="0" applyAlignment="1" applyBorder="1" applyFont="1">
      <alignment horizontal="right" shrinkToFit="0" vertical="bottom" wrapText="0"/>
    </xf>
    <xf borderId="1" fillId="0" fontId="4" numFmtId="0" xfId="0" applyAlignment="1" applyBorder="1" applyFont="1">
      <alignment readingOrder="0" shrinkToFit="0" vertical="bottom" wrapText="0"/>
    </xf>
    <xf borderId="7" fillId="0" fontId="4" numFmtId="0" xfId="0" applyAlignment="1" applyBorder="1" applyFont="1">
      <alignment horizontal="right" shrinkToFit="0" vertical="bottom" wrapText="0"/>
    </xf>
    <xf borderId="7" fillId="0" fontId="4" numFmtId="0" xfId="0" applyAlignment="1" applyBorder="1" applyFont="1">
      <alignment readingOrder="0" shrinkToFit="0" vertical="bottom" wrapText="0"/>
    </xf>
    <xf borderId="8" fillId="0" fontId="4" numFmtId="0" xfId="0" applyAlignment="1" applyBorder="1" applyFont="1">
      <alignment horizontal="right" vertical="bottom"/>
    </xf>
    <xf borderId="8" fillId="0" fontId="4" numFmtId="0" xfId="0" applyAlignment="1" applyBorder="1" applyFont="1">
      <alignment vertical="bottom"/>
    </xf>
    <xf borderId="0" fillId="0" fontId="4" numFmtId="0" xfId="0" applyAlignment="1" applyFont="1">
      <alignment horizontal="right" vertical="bottom"/>
    </xf>
    <xf borderId="0" fillId="0" fontId="4" numFmtId="0" xfId="0" applyAlignment="1" applyFont="1">
      <alignment horizontal="right" readingOrder="0" vertical="bottom"/>
    </xf>
    <xf borderId="10" fillId="0" fontId="1" numFmtId="0" xfId="0" applyAlignment="1" applyBorder="1" applyFont="1">
      <alignment readingOrder="0"/>
    </xf>
    <xf borderId="11" fillId="0" fontId="2"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6">
    <tableStyle count="4" pivot="0" name="sword-style">
      <tableStyleElement dxfId="1" type="headerRow"/>
      <tableStyleElement dxfId="2" type="firstRowStripe"/>
      <tableStyleElement dxfId="3" type="secondRowStripe"/>
      <tableStyleElement dxfId="4" size="0" type="wholeTable"/>
    </tableStyle>
    <tableStyle count="4" pivot="0" name="Hammer-style">
      <tableStyleElement dxfId="1" type="headerRow"/>
      <tableStyleElement dxfId="2" type="firstRowStripe"/>
      <tableStyleElement dxfId="3" type="secondRowStripe"/>
      <tableStyleElement dxfId="4" size="0" type="wholeTable"/>
    </tableStyle>
    <tableStyle count="4" pivot="0" name="1h Axe-style">
      <tableStyleElement dxfId="1" type="headerRow"/>
      <tableStyleElement dxfId="2" type="firstRowStripe"/>
      <tableStyleElement dxfId="3" type="secondRowStripe"/>
      <tableStyleElement dxfId="4" size="0" type="wholeTable"/>
    </tableStyle>
    <tableStyle count="4" pivot="0" name="Dagger-style">
      <tableStyleElement dxfId="1" type="headerRow"/>
      <tableStyleElement dxfId="2" type="firstRowStripe"/>
      <tableStyleElement dxfId="3" type="secondRowStripe"/>
      <tableStyleElement dxfId="4" size="0" type="wholeTable"/>
    </tableStyle>
    <tableStyle count="4" pivot="0" name="2h sword-style">
      <tableStyleElement dxfId="1" type="headerRow"/>
      <tableStyleElement dxfId="2" type="firstRowStripe"/>
      <tableStyleElement dxfId="3" type="secondRowStripe"/>
      <tableStyleElement dxfId="4" size="0" type="wholeTable"/>
    </tableStyle>
    <tableStyle count="4" pivot="0" name="2H Hammer-style">
      <tableStyleElement dxfId="1" type="headerRow"/>
      <tableStyleElement dxfId="2" type="firstRowStripe"/>
      <tableStyleElement dxfId="3" type="secondRowStripe"/>
      <tableStyleElement dxfId="4" size="0" type="wholeTable"/>
    </tableStyle>
    <tableStyle count="4" pivot="0" name="2H AXE-style">
      <tableStyleElement dxfId="1" type="headerRow"/>
      <tableStyleElement dxfId="2" type="firstRowStripe"/>
      <tableStyleElement dxfId="3" type="secondRowStripe"/>
      <tableStyleElement dxfId="4" size="0" type="wholeTable"/>
    </tableStyle>
    <tableStyle count="4" pivot="0" name="Spear-style">
      <tableStyleElement dxfId="1" type="headerRow"/>
      <tableStyleElement dxfId="2" type="firstRowStripe"/>
      <tableStyleElement dxfId="3" type="secondRowStripe"/>
      <tableStyleElement dxfId="4" size="0" type="wholeTable"/>
    </tableStyle>
    <tableStyle count="4" pivot="0" name="War Shield-style">
      <tableStyleElement dxfId="1" type="headerRow"/>
      <tableStyleElement dxfId="2" type="firstRowStripe"/>
      <tableStyleElement dxfId="3" type="secondRowStripe"/>
      <tableStyleElement dxfId="4" size="0" type="wholeTable"/>
    </tableStyle>
    <tableStyle count="4" pivot="0" name="Claws-style">
      <tableStyleElement dxfId="1" type="headerRow"/>
      <tableStyleElement dxfId="2" type="firstRowStripe"/>
      <tableStyleElement dxfId="3" type="secondRowStripe"/>
      <tableStyleElement dxfId="4" size="0" type="wholeTable"/>
    </tableStyle>
    <tableStyle count="4" pivot="0" name="Hand crossbow-style">
      <tableStyleElement dxfId="1" type="headerRow"/>
      <tableStyleElement dxfId="2" type="firstRowStripe"/>
      <tableStyleElement dxfId="3" type="secondRowStripe"/>
      <tableStyleElement dxfId="4" size="0" type="wholeTable"/>
    </tableStyle>
    <tableStyle count="4" pivot="0" name="Crossbow-style">
      <tableStyleElement dxfId="1" type="headerRow"/>
      <tableStyleElement dxfId="2" type="firstRowStripe"/>
      <tableStyleElement dxfId="3" type="secondRowStripe"/>
      <tableStyleElement dxfId="4" size="0" type="wholeTable"/>
    </tableStyle>
    <tableStyle count="4" pivot="0" name="Pistol-style">
      <tableStyleElement dxfId="1" type="headerRow"/>
      <tableStyleElement dxfId="2" type="firstRowStripe"/>
      <tableStyleElement dxfId="3" type="secondRowStripe"/>
      <tableStyleElement dxfId="4" size="0" type="wholeTable"/>
    </tableStyle>
    <tableStyle count="4" pivot="0" name="Shortbow-style">
      <tableStyleElement dxfId="1" type="headerRow"/>
      <tableStyleElement dxfId="2" type="firstRowStripe"/>
      <tableStyleElement dxfId="3" type="secondRowStripe"/>
      <tableStyleElement dxfId="4" size="0" type="wholeTable"/>
    </tableStyle>
    <tableStyle count="4" pivot="0" name="Longbow-style">
      <tableStyleElement dxfId="1" type="headerRow"/>
      <tableStyleElement dxfId="2" type="firstRowStripe"/>
      <tableStyleElement dxfId="3" type="secondRowStripe"/>
      <tableStyleElement dxfId="4" size="0" type="wholeTable"/>
    </tableStyle>
    <tableStyle count="4" pivot="0" name="Rifle-style">
      <tableStyleElement dxfId="1" type="headerRow"/>
      <tableStyleElement dxfId="2" type="firstRowStripe"/>
      <tableStyleElement dxfId="3" type="secondRowStripe"/>
      <tableStyleElement dxfId="4" size="0" type="wholeTable"/>
    </tableStyle>
    <tableStyle count="4" pivot="0" name="Cannon-style">
      <tableStyleElement dxfId="1" type="headerRow"/>
      <tableStyleElement dxfId="2" type="firstRowStripe"/>
      <tableStyleElement dxfId="3" type="secondRowStripe"/>
      <tableStyleElement dxfId="4" size="0" type="wholeTable"/>
    </tableStyle>
    <tableStyle count="4" pivot="0" name="Boomerang-style">
      <tableStyleElement dxfId="1" type="headerRow"/>
      <tableStyleElement dxfId="2" type="firstRowStripe"/>
      <tableStyleElement dxfId="3" type="secondRowStripe"/>
      <tableStyleElement dxfId="4" size="0" type="wholeTable"/>
    </tableStyle>
    <tableStyle count="4" pivot="0" name="Wand-style">
      <tableStyleElement dxfId="1" type="headerRow"/>
      <tableStyleElement dxfId="2" type="firstRowStripe"/>
      <tableStyleElement dxfId="3" type="secondRowStripe"/>
      <tableStyleElement dxfId="4" size="0" type="wholeTable"/>
    </tableStyle>
    <tableStyle count="4" pivot="0" name="Scepter-style">
      <tableStyleElement dxfId="1" type="headerRow"/>
      <tableStyleElement dxfId="2" type="firstRowStripe"/>
      <tableStyleElement dxfId="3" type="secondRowStripe"/>
      <tableStyleElement dxfId="4" size="0" type="wholeTable"/>
    </tableStyle>
    <tableStyle count="4" pivot="0" name="Tome of Secrets-style">
      <tableStyleElement dxfId="1" type="headerRow"/>
      <tableStyleElement dxfId="2" type="firstRowStripe"/>
      <tableStyleElement dxfId="3" type="secondRowStripe"/>
      <tableStyleElement dxfId="4" size="0" type="wholeTable"/>
    </tableStyle>
    <tableStyle count="4" pivot="0" name="Magic orb-style">
      <tableStyleElement dxfId="1" type="headerRow"/>
      <tableStyleElement dxfId="2" type="firstRowStripe"/>
      <tableStyleElement dxfId="3" type="secondRowStripe"/>
      <tableStyleElement dxfId="4" size="0" type="wholeTable"/>
    </tableStyle>
    <tableStyle count="4" pivot="0" name="power staff-style">
      <tableStyleElement dxfId="1" type="headerRow"/>
      <tableStyleElement dxfId="2" type="firstRowStripe"/>
      <tableStyleElement dxfId="3" type="secondRowStripe"/>
      <tableStyleElement dxfId="4" size="0" type="wholeTable"/>
    </tableStyle>
    <tableStyle count="4" pivot="0" name="druid staff-style">
      <tableStyleElement dxfId="1" type="headerRow"/>
      <tableStyleElement dxfId="2" type="firstRowStripe"/>
      <tableStyleElement dxfId="3" type="secondRowStripe"/>
      <tableStyleElement dxfId="4" size="0" type="wholeTable"/>
    </tableStyle>
    <tableStyle count="4" pivot="0" name="Gauntlet-style">
      <tableStyleElement dxfId="1" type="headerRow"/>
      <tableStyleElement dxfId="2" type="firstRowStripe"/>
      <tableStyleElement dxfId="3" type="secondRowStripe"/>
      <tableStyleElement dxfId="4" size="0" type="wholeTable"/>
    </tableStyle>
    <tableStyle count="4" pivot="0" name="Sacred Flow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ocumenttasks/documenttask12.xml><?xml version="1.0" encoding="utf-8"?>
<Tasks xmlns="http://schemas.microsoft.com/office/tasks/2019/documenttasks"/>
</file>

<file path=xl/documenttasks/documenttask1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robo bobo" id="{a858253e-3b2d-4a64-b354-44a39f65c26e}" providerId="google-sheets"/>
  <x18tc:person displayName="Abigail" id="{5698ed30-0c55-4d5b-a692-f1bf4b46991e}" providerId="google-sheets"/>
  <x18tc:person displayName="ellaris clavis" id="{a19ef7ed-30e6-407a-b536-1c7c8a8f4d84}" providerId="google-sheets"/>
</x18tc:personList>
</file>

<file path=xl/tables/table1.xml><?xml version="1.0" encoding="utf-8"?>
<table xmlns="http://schemas.openxmlformats.org/spreadsheetml/2006/main" ref="A5:H12" displayName="Tabela1" name="Tabela1" id="1">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sword-style" showColumnStripes="0" showFirstColumn="1" showLastColumn="1" showRowStripes="1"/>
</table>
</file>

<file path=xl/tables/table2.xml><?xml version="1.0" encoding="utf-8"?>
<table xmlns="http://schemas.openxmlformats.org/spreadsheetml/2006/main" ref="A5:H12" displayName="Tabela2" name="Tabela2" id="2">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Hammer-style" showColumnStripes="0" showFirstColumn="1" showLastColumn="1" showRowStripes="1"/>
</table>
</file>

<file path=xl/tables/table3.xml><?xml version="1.0" encoding="utf-8"?>
<table xmlns="http://schemas.openxmlformats.org/spreadsheetml/2006/main" ref="A5:H12" displayName="Tabela3" name="Tabela3" id="3">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1h Axe-style" showColumnStripes="0" showFirstColumn="1" showLastColumn="1" showRowStripes="1"/>
</table>
</file>

<file path=xl/tables/table4.xml><?xml version="1.0" encoding="utf-8"?>
<table xmlns="http://schemas.openxmlformats.org/spreadsheetml/2006/main" ref="A5:H12" displayName="Tabela4" name="Tabela4" id="4">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Dagger-style" showColumnStripes="0" showFirstColumn="1" showLastColumn="1" showRowStripes="1"/>
</table>
</file>

<file path=xl/tables/table5.xml><?xml version="1.0" encoding="utf-8"?>
<table xmlns="http://schemas.openxmlformats.org/spreadsheetml/2006/main" ref="A5:H12" displayName="Tabela5" name="Tabela5" id="5">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2h sword-style" showColumnStripes="0" showFirstColumn="1" showLastColumn="1" showRowStripes="1"/>
</table>
</file>

<file path=xl/tables/table6.xml><?xml version="1.0" encoding="utf-8"?>
<table xmlns="http://schemas.openxmlformats.org/spreadsheetml/2006/main" ref="A5:H12" displayName="Tabela6" name="Tabela6" id="6">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2H Hammer-style" showColumnStripes="0" showFirstColumn="1" showLastColumn="1" showRowStripes="1"/>
</table>
</file>

<file path=xl/tables/table7.xml><?xml version="1.0" encoding="utf-8"?>
<table xmlns="http://schemas.openxmlformats.org/spreadsheetml/2006/main" ref="A5:H12" displayName="Tabela7" name="Tabela7" id="7">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2H AXE-style" showColumnStripes="0" showFirstColumn="1" showLastColumn="1" showRowStripes="1"/>
</table>
</file>

<file path=xl/tables/table8.xml><?xml version="1.0" encoding="utf-8"?>
<table xmlns="http://schemas.openxmlformats.org/spreadsheetml/2006/main" ref="A5:H12" displayName="Tabela8" name="Tabela8" id="8">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Spear-style" showColumnStripes="0" showFirstColumn="1" showLastColumn="1" showRowStripes="1"/>
</table>
</file>

<file path=xl/tables/table9.xml><?xml version="1.0" encoding="utf-8"?>
<table xmlns="http://schemas.openxmlformats.org/spreadsheetml/2006/main" ref="A5:H12" displayName="Tabela9" name="Tabela9" id="9">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War Shield-style" showColumnStripes="0" showFirstColumn="1" showLastColumn="1" showRowStripes="1"/>
</table>
</file>

<file path=xl/tables/table10.xml><?xml version="1.0" encoding="utf-8"?>
<table xmlns="http://schemas.openxmlformats.org/spreadsheetml/2006/main" ref="A5:H12" displayName="Tabela10" name="Tabela10" id="10">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Claws-style" showColumnStripes="0" showFirstColumn="1" showLastColumn="1" showRowStripes="1"/>
</table>
</file>

<file path=xl/tables/table11.xml><?xml version="1.0" encoding="utf-8"?>
<table xmlns="http://schemas.openxmlformats.org/spreadsheetml/2006/main" ref="A5:H12" displayName="Tabela11" name="Tabela11" id="11">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Hand crossbow-style" showColumnStripes="0" showFirstColumn="1" showLastColumn="1" showRowStripes="1"/>
</table>
</file>

<file path=xl/tables/table12.xml><?xml version="1.0" encoding="utf-8"?>
<table xmlns="http://schemas.openxmlformats.org/spreadsheetml/2006/main" ref="A5:H12" displayName="Tabela12" name="Tabela12" id="12">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Crossbow-style" showColumnStripes="0" showFirstColumn="1" showLastColumn="1" showRowStripes="1"/>
</table>
</file>

<file path=xl/tables/table13.xml><?xml version="1.0" encoding="utf-8"?>
<table xmlns="http://schemas.openxmlformats.org/spreadsheetml/2006/main" ref="A5:H12" displayName="Tabela13" name="Tabela13" id="13">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Pistol-style" showColumnStripes="0" showFirstColumn="1" showLastColumn="1" showRowStripes="1"/>
</table>
</file>

<file path=xl/tables/table14.xml><?xml version="1.0" encoding="utf-8"?>
<table xmlns="http://schemas.openxmlformats.org/spreadsheetml/2006/main" ref="A5:H12" displayName="Tabela14" name="Tabela14" id="14">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Shortbow-style" showColumnStripes="0" showFirstColumn="1" showLastColumn="1" showRowStripes="1"/>
</table>
</file>

<file path=xl/tables/table15.xml><?xml version="1.0" encoding="utf-8"?>
<table xmlns="http://schemas.openxmlformats.org/spreadsheetml/2006/main" ref="A5:H12" displayName="Tabela15" name="Tabela15" id="15">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Longbow-style" showColumnStripes="0" showFirstColumn="1" showLastColumn="1" showRowStripes="1"/>
</table>
</file>

<file path=xl/tables/table16.xml><?xml version="1.0" encoding="utf-8"?>
<table xmlns="http://schemas.openxmlformats.org/spreadsheetml/2006/main" ref="A5:H12" displayName="Tabela16" name="Tabela16" id="16">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Rifle-style" showColumnStripes="0" showFirstColumn="1" showLastColumn="1" showRowStripes="1"/>
</table>
</file>

<file path=xl/tables/table17.xml><?xml version="1.0" encoding="utf-8"?>
<table xmlns="http://schemas.openxmlformats.org/spreadsheetml/2006/main" ref="A5:H12" displayName="Tabela17" name="Tabela17" id="17">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Cannon-style" showColumnStripes="0" showFirstColumn="1" showLastColumn="1" showRowStripes="1"/>
</table>
</file>

<file path=xl/tables/table18.xml><?xml version="1.0" encoding="utf-8"?>
<table xmlns="http://schemas.openxmlformats.org/spreadsheetml/2006/main" ref="A5:H12" displayName="Tabela18" name="Tabela18" id="18">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Boomerang-style" showColumnStripes="0" showFirstColumn="1" showLastColumn="1" showRowStripes="1"/>
</table>
</file>

<file path=xl/tables/table19.xml><?xml version="1.0" encoding="utf-8"?>
<table xmlns="http://schemas.openxmlformats.org/spreadsheetml/2006/main" ref="A5:H12" displayName="Tabela19" name="Tabela19" id="19">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Wand-style" showColumnStripes="0" showFirstColumn="1" showLastColumn="1" showRowStripes="1"/>
</table>
</file>

<file path=xl/tables/table20.xml><?xml version="1.0" encoding="utf-8"?>
<table xmlns="http://schemas.openxmlformats.org/spreadsheetml/2006/main" ref="A5:H12" displayName="Tabela20" name="Tabela20" id="20">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Scepter-style" showColumnStripes="0" showFirstColumn="1" showLastColumn="1" showRowStripes="1"/>
</table>
</file>

<file path=xl/tables/table21.xml><?xml version="1.0" encoding="utf-8"?>
<table xmlns="http://schemas.openxmlformats.org/spreadsheetml/2006/main" ref="A5:H12" displayName="Tabela21" name="Tabela21" id="21">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Tome of Secrets-style" showColumnStripes="0" showFirstColumn="1" showLastColumn="1" showRowStripes="1"/>
</table>
</file>

<file path=xl/tables/table22.xml><?xml version="1.0" encoding="utf-8"?>
<table xmlns="http://schemas.openxmlformats.org/spreadsheetml/2006/main" ref="A5:H12" displayName="Tabela22" name="Tabela22" id="22">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Magic orb-style" showColumnStripes="0" showFirstColumn="1" showLastColumn="1" showRowStripes="1"/>
</table>
</file>

<file path=xl/tables/table23.xml><?xml version="1.0" encoding="utf-8"?>
<table xmlns="http://schemas.openxmlformats.org/spreadsheetml/2006/main" ref="A5:H12" displayName="Tabela23" name="Tabela23" id="23">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power staff-style" showColumnStripes="0" showFirstColumn="1" showLastColumn="1" showRowStripes="1"/>
</table>
</file>

<file path=xl/tables/table24.xml><?xml version="1.0" encoding="utf-8"?>
<table xmlns="http://schemas.openxmlformats.org/spreadsheetml/2006/main" ref="A5:H12" displayName="Tabela24" name="Tabela24" id="24">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druid staff-style" showColumnStripes="0" showFirstColumn="1" showLastColumn="1" showRowStripes="1"/>
</table>
</file>

<file path=xl/tables/table25.xml><?xml version="1.0" encoding="utf-8"?>
<table xmlns="http://schemas.openxmlformats.org/spreadsheetml/2006/main" ref="A5:H12" displayName="Tabela25" name="Tabela25" id="25">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Gauntlet-style" showColumnStripes="0" showFirstColumn="1" showLastColumn="1" showRowStripes="1"/>
</table>
</file>

<file path=xl/tables/table26.xml><?xml version="1.0" encoding="utf-8"?>
<table xmlns="http://schemas.openxmlformats.org/spreadsheetml/2006/main" ref="A5:H12" displayName="Tabela26" name="Tabela26" id="26">
  <tableColumns count="8">
    <tableColumn name="Level" id="1"/>
    <tableColumn name="old min damage" id="2"/>
    <tableColumn name="old max damage" id="3"/>
    <tableColumn name="old avg damage" id="4"/>
    <tableColumn name="new min damage" id="5"/>
    <tableColumn name="new max damage" id="6"/>
    <tableColumn name="new avg damage (baseline)" id="7"/>
    <tableColumn name="spread" id="8"/>
  </tableColumns>
  <tableStyleInfo name="Sacred Flow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8" dT="2026-01-18T15:45:42.00" personId="{a19ef7ed-30e6-407a-b536-1c7c8a8f4d84}" id="{45a1298d-305c-4e8a-ab16-627b43d48089}" done="1">
    <x18tc:text xml:space="preserve">This feels like it makes the hammer a ranged weapon</x18tc:text>
  </x18tc:threadedComment>
  <x18tc:threadedComment ref="A18" dT="2026-01-18T16:37:24.00" personId="{a858253e-3b2d-4a64-b354-44a39f65c26e}" id="{a54208b3-44f2-43f4-ba75-c7fecc39b331}" parentId="{45a1298d-305c-4e8a-ab16-627b43d48089}">
    <x18tc:text xml:space="preserve">Why? do you mean the +1 use on the skill 2?</x18tc:text>
  </x18tc:threadedComment>
  <x18tc:threadedComment ref="A18" dT="2026-01-18T17:38:03.00" personId="{a19ef7ed-30e6-407a-b536-1c7c8a8f4d84}" id="{2c3ee7fb-de80-4275-a93b-f9450ada7ed7}" parentId="{45a1298d-305c-4e8a-ab16-627b43d48089}">
    <x18tc:text xml:space="preserve">yes, moving from skill 1 into 2, also skill 2 is already quite strong, I think maybe skill 3 could have something to help with killing those enemies, like  2 turn armor or resistance debuff alongside the stun</x18tc:text>
  </x18tc:threadedComment>
  <x18tc:threadedComment ref="A18" dT="2026-01-18T19:16:53.00" personId="{a858253e-3b2d-4a64-b354-44a39f65c26e}" id="{24c6bd84-e731-46cc-9a51-bd3c6530d7ff}" parentId="{45a1298d-305c-4e8a-ab16-627b43d48089}">
    <x18tc:text xml:space="preserve">Okay, that's fair, I'm reverting the skill use changes. 
Skill 3 is mostly about stun, so it doesn't need help killing the side tiles though.</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9" dT="2026-01-18T15:48:47.00" personId="{a19ef7ed-30e6-407a-b536-1c7c8a8f4d84}" id="{1c433778-14ce-42a4-9e4b-bb6e59eae991}" done="1">
    <x18tc:text xml:space="preserve">not sure if this is enough to make it feel good?
at least make skill 1 able to target ground</x18tc:text>
  </x18tc:threadedComment>
  <x18tc:threadedComment ref="D19" dT="2026-01-18T16:39:59.00" personId="{a858253e-3b2d-4a64-b354-44a39f65c26e}" id="{8f41fe13-748b-454d-8d08-3448218b8008}" parentId="{1c433778-14ce-42a4-9e4b-bb6e59eae991}">
    <x18tc:text xml:space="preserve">I think it should be enough
Maybe skill 2 should also get more base momentum, but 2h sword is already pretty close to being good.
I'm not sure if it's possible to make 2h sword ground targetable but it's worth looking into</x18tc:text>
  </x18tc:threadedComment>
  <x18tc:threadedComment ref="D19" dT="2026-01-18T17:06:03.00" personId="{5698ed30-0c55-4d5b-a692-f1bf4b46991e}" id="{69207ec6-fbb7-4878-a4b7-55acdb72f2de}" parentId="{1c433778-14ce-42a4-9e4b-bb6e59eae991}">
    <x18tc:text xml:space="preserve">the movement cost on skill 4 is my biggest criticism of 2h sword, so this is a change I agree with</x18tc:text>
  </x18tc:threadedComment>
  <x18tc:threadedComment ref="D19" dT="2026-01-18T17:36:04.00" personId="{a19ef7ed-30e6-407a-b536-1c7c8a8f4d84}" id="{9dff9836-e32a-4fc8-9b90-4a17f82d7399}" parentId="{1c433778-14ce-42a4-9e4b-bb6e59eae991}">
    <x18tc:text xml:space="preserve">it does feel bad, since it's hard to position, adn you already pay for momentum with movement, and if you're short you have to use skill 1 which makes skill 4 do less damage (if you kill)</x18tc:text>
  </x18tc:threadedComment>
  <x18tc:threadedComment ref="D19" dT="2026-01-18T18:07:44.00" personId="{5698ed30-0c55-4d5b-a692-f1bf4b46991e}" id="{6d8fff8c-4b83-4297-92da-0caae7ef8935}" parentId="{1c433778-14ce-42a4-9e4b-bb6e59eae991}">
    <x18tc:text xml:space="preserve">Skill 1 doesn't change the damage of skill 4? And why would killing with it matter?</x18tc:text>
  </x18tc:threadedComment>
  <x18tc:threadedComment ref="D19" dT="2026-01-18T18:41:53.00" personId="{a19ef7ed-30e6-407a-b536-1c7c8a8f4d84}" id="{fe6051d9-5efa-4083-a56b-0bdf3627be2f}" parentId="{1c433778-14ce-42a4-9e4b-bb6e59eae991}">
    <x18tc:text xml:space="preserve">what I meant is if you end up in a place where you don't have enough movement for skill 4, and need to use skill 1 to get the movement, and kill enemies you wanted to target with skill 4, it feels bad</x18tc:text>
  </x18tc:threadedComment>
  <x18tc:threadedComment ref="D19" dT="2026-01-18T18:47:50.00" personId="{5698ed30-0c55-4d5b-a692-f1bf4b46991e}" id="{b5ead7ca-8e45-4329-b54b-c60e8b9943fd}" parentId="{1c433778-14ce-42a4-9e4b-bb6e59eae991}">
    <x18tc:text xml:space="preserve">And that will happen less if skill 4 doesn't cost movement?</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5" dT="2026-01-18T17:17:55.00" personId="{5698ed30-0c55-4d5b-a692-f1bf4b46991e}" id="{2bca8f3e-1877-44d4-89a7-f4e150b146d1}" done="1">
    <x18tc:text xml:space="preserve">I'd also make it apply the debuff to the main target tile</x18tc:text>
  </x18tc:threadedComment>
  <x18tc:threadedComment ref="B15" dT="2026-01-18T17:30:14.00" personId="{a858253e-3b2d-4a64-b354-44a39f65c26e}" id="{58e93680-f80f-4847-9381-0e3d0ba969ba}" parentId="{2bca8f3e-1877-44d4-89a7-f4e150b146d1}">
    <x18tc:text xml:space="preserve">Sure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9" dT="2026-01-18T15:53:30.00" personId="{a19ef7ed-30e6-407a-b536-1c7c8a8f4d84}" id="{7b3f32f6-a091-4742-b031-690b1a8f8afe}" done="1">
    <x18tc:text xml:space="preserve">I don't think this would be very helpful.
Maybe a x3 multihit (and slightly lower damage) with range 1-2 non-modifiable?
probably would need to change skill 3 away from multihit tho, like a cardinal spear throw with higher range, and maybe secondary damage on the sides (or debuff)</x18tc:text>
  </x18tc:threadedComment>
  <x18tc:threadedComment ref="A19" dT="2026-01-18T16:42:08.00" personId="{a858253e-3b2d-4a64-b354-44a39f65c26e}" id="{77446007-3dbe-413e-a252-eb09b86a49c3}" parentId="{7b3f32f6-a091-4742-b031-690b1a8f8afe}">
    <x18tc:text xml:space="preserve">Why would this not be helpful? the issue of this skill is that 3 targets is too little for the damage it deals, adding a 4th would change a lot. If it's too weak, it can be a full tile instead of a side tile, but i think that could be too strong considering how good the spear already is
I'm definitely not adding any MH to a skill 1 :P</x18tc:text>
  </x18tc:threadedComment>
  <x18tc:threadedComment ref="A19" dT="2026-01-18T17:34:42.00" personId="{a19ef7ed-30e6-407a-b536-1c7c8a8f4d84}" id="{d06b7781-364b-4018-aa71-251de70da0a8}" parentId="{7b3f32f6-a091-4742-b031-690b1a8f8afe}">
    <x18tc:text xml:space="preserve">that is fine, but it could be more balanced on a melee weapon.
The idea is that it is starting to look like great axe with different shape, and I think great age works better since you can stay in the middle of the wave, where as with the spear it could be better from the side?</x18tc:text>
  </x18tc:threadedComment>
  <x18tc:threadedComment ref="A19" dT="2026-01-18T19:20:21.00" personId="{a858253e-3b2d-4a64-b354-44a39f65c26e}" id="{99f0e6e8-59b0-4ea7-856c-ce9add711ec0}" parentId="{7b3f32f6-a091-4742-b031-690b1a8f8afe}">
    <x18tc:text xml:space="preserve">Yeah, the damage, positioning, amount of tiles, and accuracy is still different so i think it's different enough.</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9" dT="2026-01-18T15:00:09.00" personId="{a19ef7ed-30e6-407a-b536-1c7c8a8f4d84}" id="{8e08236a-5904-420e-99b0-26d5430c16be}" done="1">
    <x18tc:text xml:space="preserve">I'm not sure about the -dodge if it's really necessary.
would be possible to increase the skills damage by block amount?</x18tc:text>
  </x18tc:threadedComment>
  <x18tc:threadedComment ref="B19" dT="2026-01-18T15:32:34.00" personId="{a858253e-3b2d-4a64-b354-44a39f65c26e}" id="{84d7c5f4-1841-474e-b89e-d238473ae8bd}" parentId="{8e08236a-5904-420e-99b0-26d5430c16be}">
    <x18tc:text xml:space="preserve">I think it's worthwhile if we're removing base stat penalties from weapons, but tbh yes, it's not needed and we can just keep the -flat dodge. I don't think it's possible to increase the skills damage by the block amount, the perk already kind of does something like that anyway.</x18tc:text>
  </x18tc:threadedComment>
  <x18tc:threadedComment ref="C23" dT="2026-01-18T15:02:54.00" personId="{a19ef7ed-30e6-407a-b536-1c7c8a8f4d84}" id="{432b4a5d-d6ad-4d91-860c-160774559a73}" done="1">
    <x18tc:text xml:space="preserve">could make the steel grant block and this one give movement, since it's light and you like to position yourself with it</x18tc:text>
  </x18tc:threadedComment>
  <x18tc:threadedComment ref="C23" dT="2026-01-18T15:33:33.00" personId="{a858253e-3b2d-4a64-b354-44a39f65c26e}" id="{4ce0594a-97fe-4003-aece-b6131cded5dd}" parentId="{432b4a5d-d6ad-4d91-860c-160774559a73}">
    <x18tc:text xml:space="preserve">That's an option, although few weapons make sense with +armor, so i wanted war shield to have it.</x18tc:text>
  </x18tc:threadedComment>
  <x18tc:threadedComment ref="C23" dT="2026-01-18T17:47:05.00" personId="{a19ef7ed-30e6-407a-b536-1c7c8a8f4d84}" id="{29bde514-471a-4fd3-b548-52c3b8ce26c4}" parentId="{432b4a5d-d6ad-4d91-860c-160774559a73}">
    <x18tc:text xml:space="preserve">It would make most sense to be on shield, but I would still prefer to keep armor on my armor.
also is the amount at tier 5? because it might not be that great, is tier 5 supposed to block an attack or half from a regular clawer?</x18tc:text>
  </x18tc:threadedComment>
  <x18tc:threadedComment ref="C23" dT="2026-01-18T19:19:02.00" personId="{a858253e-3b2d-4a64-b354-44a39f65c26e}" id="{d55c093f-0b06-4904-af31-2f56234455e1}" parentId="{432b4a5d-d6ad-4d91-860c-160774559a73}">
    <x18tc:text xml:space="preserve">No, we start calculating from tier 0</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7" dT="2026-01-18T16:17:52.00" personId="{a19ef7ed-30e6-407a-b536-1c7c8a8f4d84}" id="{7089ce31-27de-4210-adb3-743e431eafdd}" done="1">
    <x18tc:text xml:space="preserve">I don't think dealing damage and applying poison at the same time makes too much sense</x18tc:text>
  </x18tc:threadedComment>
  <x18tc:threadedComment ref="A17" dT="2026-01-18T16:50:22.00" personId="{a858253e-3b2d-4a64-b354-44a39f65c26e}" id="{1df10940-0159-418f-964a-798588a9d32d}" parentId="{7089ce31-27de-4210-adb3-743e431eafdd}">
    <x18tc:text xml:space="preserve">Why not? Orb does it, Sacred flower does it, bee sting does it.</x18tc:text>
  </x18tc:threadedComment>
  <x18tc:threadedComment ref="A17" dT="2026-01-18T17:08:00.00" personId="{a858253e-3b2d-4a64-b354-44a39f65c26e}" id="{77f32800-bbb7-486e-b4bd-ed9f1da8fd47}" parentId="{7089ce31-27de-4210-adb3-743e431eafdd}">
    <x18tc:text xml:space="preserve">Also dagger skill 3 does it</x18tc:text>
  </x18tc:threadedComment>
  <x18tc:threadedComment ref="A17" dT="2026-01-18T17:10:54.00" personId="{5698ed30-0c55-4d5b-a692-f1bf4b46991e}" id="{63394630-426f-44a5-914f-06b6fe08e3d6}" parentId="{7089ce31-27de-4210-adb3-743e431eafdd}">
    <x18tc:text xml:space="preserve">yeah, it makes the skills a little worse than if they just do poison, because the poison doesn't get applied if the enemy dies or dodges, but that's just a balancing factor
And Hand crossbow doesn't need skills that ignore even more defensive stats</x18tc:text>
  </x18tc:threadedComment>
  <x18tc:threadedComment ref="A17" dT="2026-01-18T19:28:34.00" personId="{a858253e-3b2d-4a64-b354-44a39f65c26e}" id="{a3589b80-22a2-43b7-ad52-d7a2a4884a5a}" parentId="{7089ce31-27de-4210-adb3-743e431eafdd}">
    <x18tc:text xml:space="preserve">I think the skill will remain fine, keeping it unchanged for now.</x18tc:text>
  </x18tc:threadedComment>
  <x18tc:threadedComment ref="B17" dT="2026-01-18T16:06:10.00" personId="{a19ef7ed-30e6-407a-b536-1c7c8a8f4d84}" id="{4f2dee66-f4f3-40c2-96a6-7623f34211b3}" done="0">
    <x18tc:text xml:space="preserve">how about -1 movement instead of mana for 2 multihits and 3 uses?
or start the ability with 2 multihit and higher multiplayer on lowe item tier and 3 multihit with lower multiplayer on higher tier?
I don't think there is a very clean way for 1 ap multihit</x18tc:text>
  </x18tc:threadedComment>
  <x18tc:threadedComment ref="B17" dT="2026-01-18T16:34:13.00" personId="{a858253e-3b2d-4a64-b354-44a39f65c26e}" id="{de88d362-1470-41c2-bdc1-b83639e941dc}" parentId="{4f2dee66-f4f3-40c2-96a6-7623f34211b3}">
    <x18tc:text xml:space="preserve">No, Making it 3 MH base but 2 uses is very, very important, it's what's gonna balance it without making it terrible early. MH was busted with xbow due to each MH being +50% damage, and it having a lot of uses. Higher base MH and lower uses is the point.
I disagree on it being unclean, I think it's pretty clean, the inaccurate and opp multiplier effects are optional and mostly for flavor, can remove them if you don't like them. It costing mana is also optional tbh
I could make it manaless but lose the +opp modifier.</x18tc:text>
  </x18tc:threadedComment>
  <x18tc:threadedComment ref="B17" dT="2026-01-18T17:12:01.00" personId="{5698ed30-0c55-4d5b-a692-f1bf4b46991e}" id="{896b7e49-165f-4e63-8e77-c3773cab2e3b}" parentId="{4f2dee66-f4f3-40c2-96a6-7623f34211b3}">
    <x18tc:text xml:space="preserve">I think manaless but no opp would be better, it feels weird for a non magic weapon to use mana on skill 2
but yeah, 2 uses is the important balancing aspect</x18tc:text>
  </x18tc:threadedComment>
  <x18tc:threadedComment ref="B17" dT="2026-01-18T17:24:17.00" personId="{a19ef7ed-30e6-407a-b536-1c7c8a8f4d84}" id="{ad3ab9af-1b23-4def-af13-b98e08b35dde}" parentId="{4f2dee66-f4f3-40c2-96a6-7623f34211b3}">
    <x18tc:text xml:space="preserve">yeah, I can see that, it might also be that it looks like it doesn't know what to do since it can use any stat, maybe it should just focus on doing 1 thing instead of being able to do everything?</x18tc:text>
  </x18tc:threadedComment>
  <x18tc:threadedComment ref="B17" dT="2026-01-18T19:27:21.00" personId="{a858253e-3b2d-4a64-b354-44a39f65c26e}" id="{492cd4f9-00db-4dda-9bf0-e111d8413ed6}" parentId="{4f2dee66-f4f3-40c2-96a6-7623f34211b3}">
    <x18tc:text xml:space="preserve">That's why i tried to give it opp, to focus more on the debuff/poison
But I've removed opp and mana cost, and gave opp to blaze instead.</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8" dT="2026-01-18T15:09:00.00" personId="{a19ef7ed-30e6-407a-b536-1c7c8a8f4d84}" id="{9a3ce0c3-77f4-4eb3-8e63-392749dd3bb8}" done="0">
    <x18tc:text xml:space="preserve">I kinda liked the old one, not a fan of these changes</x18tc:text>
  </x18tc:threadedComment>
  <x18tc:threadedComment ref="A18" dT="2026-01-18T15:30:26.00" personId="{a858253e-3b2d-4a64-b354-44a39f65c26e}" id="{e8af46c3-5e48-4f6a-9017-f52a230013f3}" parentId="{9a3ce0c3-77f4-4eb3-8e63-392749dd3bb8}">
    <x18tc:text xml:space="preserve">I can revert the skill 2 and 4 changes but I do think the -res debuff should go to the hammer, not crossbow</x18tc:text>
  </x18tc:threadedComment>
  <x18tc:threadedComment ref="A18" dT="2026-01-18T17:07:25.00" personId="{5698ed30-0c55-4d5b-a692-f1bf4b46991e}" id="{64fdcec6-612e-40e9-be36-63f9aed487da}" parentId="{9a3ce0c3-77f4-4eb3-8e63-392749dd3bb8}">
    <x18tc:text xml:space="preserve">I almost think that crossbow just doesn't need any debuffs. Debuffs and using opportunism doesn't need to be something that every single weapon can do?</x18tc:text>
  </x18tc:threadedComment>
  <x18tc:threadedComment ref="A18" dT="2026-01-18T17:27:25.00" personId="{a858253e-3b2d-4a64-b354-44a39f65c26e}" id="{fcc1b88f-e244-4b00-b6f1-ee022dee8f0a}" parentId="{9a3ce0c3-77f4-4eb3-8e63-392749dd3bb8}">
    <x18tc:text xml:space="preserve">It does not need it, but since i want to put the -res on hammer i do think it could use something
It's generally fun if skills 1 and 2 have some spice.  I can always just increase the base damage of it further instead.</x18tc:text>
  </x18tc:threadedComment>
  <x18tc:threadedComment ref="A18" dT="2026-01-18T17:44:12.00" personId="{a19ef7ed-30e6-407a-b536-1c7c8a8f4d84}" id="{c4eedca4-6883-4199-9d5d-5abd3fa68058}" parentId="{9a3ce0c3-77f4-4eb3-8e63-392749dd3bb8}">
    <x18tc:text xml:space="preserve">yeah, I thnk skill 2 shouldn't have isolation, it's the skill you use to make targets isolated since it has high damage, and it needs positioning, so it's harder to target isolated stragglers.
I'm not much of a fan of skill 4 in general, could it be like a side by side triple skill 3 for double the cost? or maker it look like an arrow head, reverse of pistol skill</x18tc:text>
  </x18tc:threadedComment>
  <x18tc:threadedComment ref="A18" dT="2026-01-18T19:23:51.00" personId="{a858253e-3b2d-4a64-b354-44a39f65c26e}" id="{56b180dc-ad4d-4a9c-9476-41b0e2bb05a8}" parentId="{9a3ce0c3-77f4-4eb3-8e63-392749dd3bb8}">
    <x18tc:text xml:space="preserve">Reverted the Skill 2 changes. As for skill 4, you have edit rights, so draw the aoe you're talking about. Though I'm not a fan of yet another grapeshot blast shape, we already have 3 of these</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6" dT="2026-01-18T16:01:26.00" personId="{a19ef7ed-30e6-407a-b536-1c7c8a8f4d84}" id="{b5d8d712-ab80-45a2-990f-2a9a6a1a7feb}" done="1">
    <x18tc:text xml:space="preserve">I feel like it might need more damage, unless base damage already covers that, but pistol always felt weak for me</x18tc:text>
  </x18tc:threadedComment>
  <x18tc:threadedComment ref="C16" dT="2026-01-18T16:49:52.00" personId="{a858253e-3b2d-4a64-b354-44a39f65c26e}" id="{39c751cf-3ef3-4cd4-96eb-f9b8f044960a}" parentId="{b5d8d712-ab80-45a2-990f-2a9a6a1a7feb}">
    <x18tc:text xml:space="preserve">I think the base damage covers that well enough. It's one of the better skill 3s anyway.</x18tc:text>
  </x18tc:threadedComment>
  <x18tc:threadedComment ref="C16" dT="2026-01-18T17:09:06.00" personId="{5698ed30-0c55-4d5b-a692-f1bf4b46991e}" id="{215ba710-e697-48f8-bc73-0f979a589059}" parentId="{b5d8d712-ab80-45a2-990f-2a9a6a1a7feb}">
    <x18tc:text xml:space="preserve">grape shot is a very good skill, a base damage increase would improve it early and then late game it becomes great with proximity shot</x18tc:text>
  </x18tc:threadedComment>
  <x18tc:threadedComment ref="C16" dT="2026-01-18T17:26:05.00" personId="{a19ef7ed-30e6-407a-b536-1c7c8a8f4d84}" id="{a1cfd2b3-a216-4a8f-b839-48c64124eaa1}" parentId="{b5d8d712-ab80-45a2-990f-2a9a6a1a7feb}">
    <x18tc:text xml:space="preserve">yeah, I don't play with many "ranged" perks, since they tend to be ranged damage specific and kinda weird overall, the other perks are definitely more universal</x18tc:text>
  </x18tc:threadedComment>
  <x18tc:threadedComment ref="C16" dT="2026-01-18T18:06:28.00" personId="{5698ed30-0c55-4d5b-a692-f1bf4b46991e}" id="{dccecb6e-9e9c-4b3b-ba30-60bd4584616f}" parentId="{b5d8d712-ab80-45a2-990f-2a9a6a1a7feb}">
    <x18tc:text xml:space="preserve">Proximity shot is the only one that's ranged damage specific, and it's a very very good perk</x18tc:text>
  </x18tc:threadedComment>
  <x18tc:threadedComment ref="C16" dT="2026-01-18T18:37:49.00" personId="{a19ef7ed-30e6-407a-b536-1c7c8a8f4d84}" id="{a3c5a076-2a0c-45a3-8f10-ae19e67facfe}" parentId="{b5d8d712-ab80-45a2-990f-2a9a6a1a7feb}">
    <x18tc:text xml:space="preserve">maybe it's just me who likes to kill enemies at range with ranged damage instead of in melee :p</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6" dT="2026-01-18T15:44:17.00" personId="{a19ef7ed-30e6-407a-b536-1c7c8a8f4d84}" id="{0d936e32-0da0-446b-a664-e5632f4a7b21}" done="0">
    <x18tc:text xml:space="preserve">I don't like this change, I think it makes more sense to exchange the scattershot to longbow (since it's "inaccurate" at long range) and bring the arctic stun to shortbow and have skill 1 to be opportunistic.
Have shortbow be a good horde killer and longbow be good at picking enemies off</x18tc:text>
  </x18tc:threadedComment>
  <x18tc:threadedComment ref="A16" dT="2026-01-18T16:38:06.00" personId="{a858253e-3b2d-4a64-b354-44a39f65c26e}" id="{e4ccf504-d86f-4027-8e4f-cc36c2d03eca}" parentId="{0d936e32-0da0-446b-a664-e5632f4a7b21}">
    <x18tc:text xml:space="preserve">Long bow already has snipe shot for picking enemies off, and shortbow's skill 4 is literally about creating isolated targets. Giving shortbow arctic blast would also mean it has skill 3 and 4 that basically do the same thing, which is lame.</x18tc:text>
  </x18tc:threadedComment>
  <x18tc:threadedComment ref="A16" dT="2026-01-18T17:39:51.00" personId="{a19ef7ed-30e6-407a-b536-1c7c8a8f4d84}" id="{8fcbefae-1145-4805-80da-08f94b96475c}" parentId="{0d936e32-0da0-446b-a664-e5632f4a7b21}">
    <x18tc:text xml:space="preserve">but short bow can't pick enemies off since it has short range, that is why longbow is good at picking off stragglers, also you want to debuff a group of enemies to stop the from advancing so it would make sense to have shortbow have opportunism to finish those enemies off</x18tc:text>
  </x18tc:threadedComment>
  <x18tc:threadedComment ref="A16" dT="2026-01-18T19:21:36.00" personId="{a858253e-3b2d-4a64-b354-44a39f65c26e}" id="{7cc48129-59ba-4521-b87f-bff210481c7d}" parentId="{0d936e32-0da0-446b-a664-e5632f4a7b21}">
    <x18tc:text xml:space="preserve">Shortbow has 8 base range, that is not low. It also has only 1 use of a debuff skill compared to longbow's 4.</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6" dT="2026-01-18T15:55:31.00" personId="{a19ef7ed-30e6-407a-b536-1c7c8a8f4d84}" id="{0b656c85-a37c-4211-8052-1b2bad385a1d}" done="1">
    <x18tc:text xml:space="preserve">I think it could reduce armor or resistance as well as move instead of extra damage</x18tc:text>
  </x18tc:threadedComment>
  <x18tc:threadedComment ref="C16" dT="2026-01-18T16:46:04.00" personId="{a858253e-3b2d-4a64-b354-44a39f65c26e}" id="{6fde8b54-665e-4fff-a929-2bc8919d62d3}" parentId="{0b656c85-a37c-4211-8052-1b2bad385a1d}">
    <x18tc:text xml:space="preserve">This is only to compensate for the damage nerf really, I think the skill itself is fine. 10 targets is a lot.</x18tc:text>
  </x18tc:threadedComment>
  <x18tc:threadedComment ref="D16" dT="2026-01-18T16:00:36.00" personId="{a19ef7ed-30e6-407a-b536-1c7c8a8f4d84}" id="{24da7b7e-8cfa-4f1d-96ef-1acf74cd60a2}" done="0">
    <x18tc:text xml:space="preserve">I would keep it at 1 use and high cost, just make sure it kills whatever it targets, with high damage, I would even say it should have high damage multiplayer and like 80-90% isolation + opportunitism effectiveness</x18tc:text>
  </x18tc:threadedComment>
  <x18tc:threadedComment ref="D16" dT="2026-01-18T16:48:57.00" personId="{a858253e-3b2d-4a64-b354-44a39f65c26e}" id="{618faf40-128f-445e-a0ce-4c290f448040}" parentId="{24da7b7e-8cfa-4f1d-96ef-1acf74cd60a2}">
    <x18tc:text xml:space="preserve">Keeping it 2 ap and 1 use Makes it far, far worse than the scroll variant. I intend to rework it into a high-effort, more costly but also a lot more damaging snipe shot, and making it 2 ap would just make it worse than snipe shot.</x18tc:text>
  </x18tc:threadedComment>
  <x18tc:threadedComment ref="D16" dT="2026-01-18T17:29:52.00" personId="{a19ef7ed-30e6-407a-b536-1c7c8a8f4d84}" id="{1d22387c-0c12-4d3d-836f-1e4f9ea0bfa4}" parentId="{24da7b7e-8cfa-4f1d-96ef-1acf74cd60a2}">
    <x18tc:text xml:space="preserve">yeah, asssasinate just sounds quite heavy and so does rifle, it just feels like it's beccomming more of a prickle shot.
It sounds like it should be good against hight hp enemies like elites, which you might not meet 2 off.
but I think assassinate sounds better if you don't have to put that much work into it?</x18tc:text>
  </x18tc:threadedComment>
  <x18tc:threadedComment ref="D16" dT="2026-01-18T19:15:23.00" personId="{a858253e-3b2d-4a64-b354-44a39f65c26e}" id="{d88acd91-7f99-480a-b921-05e6787a606a}" parentId="{24da7b7e-8cfa-4f1d-96ef-1acf74cd60a2}">
    <x18tc:text xml:space="preserve">What do you mean prickle shot? It's a pretty major damage buff compared to what we had previously.
I think setting up assassination is pretty thematic personally, and that's where the heaviness can come from.</x18tc:text>
  </x18tc:threadedComment>
  <x18tc:threadedComment ref="A16" dT="2026-01-18T15:57:43.00" personId="{a19ef7ed-30e6-407a-b536-1c7c8a8f4d84}" id="{68b32a4a-ae1d-4581-9fc0-d7d3828f3383}" done="1">
    <x18tc:text xml:space="preserve">is this also instead of the new propagation?
I think undogeable makes sense since it's a high cost skill, maybe secondary targets for damage or debuff (armor/dodge/resistance)?</x18tc:text>
  </x18tc:threadedComment>
  <x18tc:threadedComment ref="A16" dT="2026-01-18T16:44:29.00" personId="{a858253e-3b2d-4a64-b354-44a39f65c26e}" id="{cd601fe1-e645-46bf-8d39-84d8ed70d63f}" parentId="{68b32a4a-ae1d-4581-9fc0-d7d3828f3383}">
    <x18tc:text xml:space="preserve">No, it's with the new propagation, and the assumption that it loses the -prop damage debuff
I removed undodgeable to put it on assassinate, as it really needs it
I think armor piercing is a stronger modifier than undodgeable, especially for this skill</x18tc:text>
  </x18tc:threadedComment>
  <x18tc:threadedComment ref="B16" dT="2026-01-18T15:57:59.00" personId="{a19ef7ed-30e6-407a-b536-1c7c8a8f4d84}" id="{3dda800e-d4b3-40d9-91ed-d0055836c71e}" done="0">
    <x18tc:text xml:space="preserve">I think the opportunism fits here</x18tc:text>
  </x18tc:threadedComment>
  <x18tc:threadedComment ref="B16" dT="2026-01-18T16:45:26.00" personId="{a858253e-3b2d-4a64-b354-44a39f65c26e}" id="{8f1bdcb5-0d9e-4650-8660-52c8d6fd98b9}" parentId="{3dda800e-d4b3-40d9-91ed-d0055836c71e}">
    <x18tc:text xml:space="preserve">Maybe, but i put opportunism on assassinate instead. This is basically a strict buff, since 0.7 * 1.25 = 0.875</x18tc:text>
  </x18tc:threadedComment>
  <x18tc:threadedComment ref="B16" dT="2026-01-18T18:40:17.00" personId="{a19ef7ed-30e6-407a-b536-1c7c8a8f4d84}" id="{4fa9a38c-0fcf-44f1-86d0-6e25d1733da2}" parentId="{3dda800e-d4b3-40d9-91ed-d0055836c71e}">
    <x18tc:text xml:space="preserve">it can't have 2 sources of opportunitism like power staff?</x18tc:text>
  </x18tc:threadedComment>
  <x18tc:threadedComment ref="B16" dT="2026-01-18T19:25:30.00" personId="{a858253e-3b2d-4a64-b354-44a39f65c26e}" id="{a5a80072-6b70-4727-b97d-10563024ca35}" parentId="{3dda800e-d4b3-40d9-91ed-d0055836c71e}">
    <x18tc:text xml:space="preserve">Power staff has 1 opp skill, only skill 3
It can have 2 anyway but I think it'll feel better with only 1.</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7" dT="2026-01-18T16:09:42.00" personId="{a19ef7ed-30e6-407a-b536-1c7c8a8f4d84}" id="{74d03614-2fa8-49e4-9421-dfa41027536e}" done="1">
    <x18tc:text xml:space="preserve">don't understand/unfinished
what if you removed damage from all skills, and have the perk deal damage to all stunned targets within range at the end of turn (when the boomerang  comes back)?</x18tc:text>
  </x18tc:threadedComment>
  <x18tc:threadedComment ref="D17" dT="2026-01-18T16:52:32.00" personId="{a858253e-3b2d-4a64-b354-44a39f65c26e}" id="{a26715ca-c31f-4150-bcfa-6bfe92e6feda}" parentId="{74d03614-2fa8-49e4-9421-dfa41027536e}">
    <x18tc:text xml:space="preserve">My bad, was meant to be "After the hero stuns 3 enemies, boomerang's side tiles become main tiles"
I want to get rid of the ricochet entirely because it makes it feel like it plays the game for you. Removing damage from all skills would double down on that feeling.</x18tc:text>
  </x18tc:threadedComment>
  <x18tc:threadedComment ref="D17" dT="2026-01-18T18:36:18.00" personId="{a19ef7ed-30e6-407a-b536-1c7c8a8f4d84}" id="{8dbfea7b-88da-4388-97e7-765d716a6be2}" parentId="{74d03614-2fa8-49e4-9421-dfa41027536e}">
    <x18tc:text xml:space="preserve">so you would have to use skill 1 before using skills 2 and 3 (if it's only 1 use that would be horrible?)
I don't know, doesn't sound exciting.
Also you remove multihit and propagation and not add anything, sounds weak.</x18tc:text>
  </x18tc:threadedComment>
  <x18tc:threadedComment ref="D17" dT="2026-01-18T19:34:58.00" personId="{a858253e-3b2d-4a64-b354-44a39f65c26e}" id="{dfb2c9f9-0682-4d3b-a4a3-5e23b966684d}" parentId="{74d03614-2fa8-49e4-9421-dfa41027536e}">
    <x18tc:text xml:space="preserve">no, you can still stun with skills 2 and 3, or other sources. And while i did remove prop, i added damage, quite a lot of it in fact. I don't think skill 3 with 1.75x damage mod and like 20 targets is weak. or 1 ap 1 mana 7 targets 1.6 damage mod. The most similar weapon to it would probably be gauntlet i think.</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8" dT="2026-01-18T16:12:45.00" personId="{a19ef7ed-30e6-407a-b536-1c7c8a8f4d84}" id="{98312fb1-08e6-4187-bcb4-118725961791}" done="0">
    <x18tc:text xml:space="preserve">I would just make the buff skill have higher range, increase momentum and scale movement 2/3/4/5</x18tc:text>
  </x18tc:threadedComment>
  <x18tc:threadedComment ref="B18" dT="2026-01-18T16:56:30.00" personId="{a858253e-3b2d-4a64-b354-44a39f65c26e}" id="{92fae514-b6bf-43b9-86f0-0c7d42141f67}" parentId="{98312fb1-08e6-4187-bcb4-118725961791}">
    <x18tc:text xml:space="preserve">So you want to nerf it early? It already grants 3 movement at tier 0. 
The big problem with wind walk is that its boring, already covered by a trinket skill, and basically worse than transfer as a support skill. Shocking touch is a scepter's old skill that's already in the game files, and I think it'll be a better fit for the weapon. But if it turns out to be bad, why not, we'll bring back wind walk.</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6" dT="2026-01-18T16:16:57.00" personId="{a19ef7ed-30e6-407a-b536-1c7c8a8f4d84}" id="{a9931f2c-bf55-4377-b1fc-cabb364fbc58}" done="0">
    <x18tc:text xml:space="preserve">not sure the change to skill 3 is enough maybe it should deal damage to the center tile,
still feels like skill 4 is too strong, and anti synergistic by dealing damage and applying poison</x18tc:text>
  </x18tc:threadedComment>
  <x18tc:threadedComment ref="D16" dT="2026-01-18T16:58:44.00" personId="{a858253e-3b2d-4a64-b354-44a39f65c26e}" id="{94f2e3d2-2822-4fff-a88e-863bbd321309}" parentId="{a9931f2c-bf55-4377-b1fc-cabb364fbc58}">
    <x18tc:text xml:space="preserve">The skill 3 debuff is underrated, as demonstrated already by longbow's skill 2, it was just too expensive
I think bee sting is fine, Why do you think applying damage and poison is anti-synergistic? it's perfectly fine.</x18tc:text>
  </x18tc:threadedComment>
  <x18tc:threadedComment ref="D16" dT="2026-01-18T17:20:15.00" personId="{a19ef7ed-30e6-407a-b536-1c7c8a8f4d84}" id="{a0805a98-b2d3-4a5f-acad-af2a98ff6c5d}" parentId="{a9931f2c-bf55-4377-b1fc-cabb364fbc58}">
    <x18tc:text xml:space="preserve">if you get +poison or just +damage you buff only half of the skill, similar with other stats/perks that affects damage or poison/debuffs.
you want to apply poison to go through the enemies armor, but you deal enough damage to break that armor or the resistant guy just dies and doesn't get the poison.
It's kind of if a skill did some ranged damage and then it also did some physical damage, the benefit of doing physical damage (armor breaking) would go to waste</x18tc:text>
  </x18tc:threadedComment>
  <x18tc:threadedComment ref="D16" dT="2026-01-18T17:29:49.00" personId="{a858253e-3b2d-4a64-b354-44a39f65c26e}" id="{97ab292c-d556-4a7d-9cae-9bdc7849923f}" parentId="{a9931f2c-bf55-4377-b1fc-cabb364fbc58}">
    <x18tc:text xml:space="preserve">That's less anti-synergy and more just normal lack of synergy. Some damage can get wasted but it's not harmful. Not every enemy has armor. It's also just common enough to not be a big deal.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 Id="rId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 Id="rId7"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3.vml"/><Relationship Id="rId7"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8.xml"/><Relationship Id="rId5" Type="http://schemas.openxmlformats.org/officeDocument/2006/relationships/vmlDrawing" Target="../drawings/vmlDrawing4.vml"/><Relationship Id="rId7"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9.xml"/><Relationship Id="rId5" Type="http://schemas.openxmlformats.org/officeDocument/2006/relationships/vmlDrawing" Target="../drawings/vmlDrawing5.vml"/><Relationship Id="rId7"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1.xml"/><Relationship Id="rId5" Type="http://schemas.openxmlformats.org/officeDocument/2006/relationships/vmlDrawing" Target="../drawings/vmlDrawing6.vml"/><Relationship Id="rId7"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2.xml"/><Relationship Id="rId5" Type="http://schemas.openxmlformats.org/officeDocument/2006/relationships/vmlDrawing" Target="../drawings/vmlDrawing7.vml"/><Relationship Id="rId7"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3.xml"/><Relationship Id="rId5" Type="http://schemas.openxmlformats.org/officeDocument/2006/relationships/vmlDrawing" Target="../drawings/vmlDrawing8.vml"/><Relationship Id="rId7"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14.xml"/><Relationship Id="rId5" Type="http://schemas.openxmlformats.org/officeDocument/2006/relationships/vmlDrawing" Target="../drawings/vmlDrawing9.vml"/><Relationship Id="rId7"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16.xml"/><Relationship Id="rId5" Type="http://schemas.openxmlformats.org/officeDocument/2006/relationships/vmlDrawing" Target="../drawings/vmlDrawing10.vml"/><Relationship Id="rId7"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18.xml"/><Relationship Id="rId5" Type="http://schemas.openxmlformats.org/officeDocument/2006/relationships/vmlDrawing" Target="../drawings/vmlDrawing11.vml"/><Relationship Id="rId7"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20.xml"/><Relationship Id="rId5" Type="http://schemas.openxmlformats.org/officeDocument/2006/relationships/vmlDrawing" Target="../drawings/vmlDrawing12.vml"/><Relationship Id="rId7"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24.xml"/><Relationship Id="rId5" Type="http://schemas.openxmlformats.org/officeDocument/2006/relationships/vmlDrawing" Target="../drawings/vmlDrawing13.vml"/><Relationship Id="rId7"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9" max="16" width="2.75"/>
    <col customWidth="1" min="17" max="17" width="2.25"/>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13.5" customHeight="1">
      <c r="A6" s="8">
        <v>-1.0</v>
      </c>
      <c r="B6" s="8">
        <v>61.0</v>
      </c>
      <c r="C6" s="8">
        <v>75.0</v>
      </c>
      <c r="D6" s="9">
        <f t="shared" ref="D6:D12" si="1">AVERAGE(B6:C6)</f>
        <v>68</v>
      </c>
      <c r="E6" s="8">
        <f t="shared" ref="E6:E12" si="2">ROUND(F6*H6,0)</f>
        <v>65</v>
      </c>
      <c r="F6" s="8">
        <f>ROUND(F7 * 0.9,0)</f>
        <v>81</v>
      </c>
      <c r="G6" s="8">
        <f t="shared" ref="G6:G12" si="3">AVERAGE(E6:F6)</f>
        <v>73</v>
      </c>
      <c r="H6" s="8">
        <v>0.8</v>
      </c>
    </row>
    <row r="7" ht="13.5" customHeight="1">
      <c r="A7" s="8">
        <v>0.0</v>
      </c>
      <c r="B7" s="8">
        <v>65.0</v>
      </c>
      <c r="C7" s="8">
        <v>80.0</v>
      </c>
      <c r="D7" s="9">
        <f t="shared" si="1"/>
        <v>72.5</v>
      </c>
      <c r="E7" s="8">
        <f t="shared" si="2"/>
        <v>72</v>
      </c>
      <c r="F7" s="8">
        <v>90.0</v>
      </c>
      <c r="G7" s="8">
        <f t="shared" si="3"/>
        <v>81</v>
      </c>
      <c r="H7" s="8">
        <v>0.8</v>
      </c>
    </row>
    <row r="8" ht="13.5" customHeight="1">
      <c r="A8" s="8">
        <v>1.0</v>
      </c>
      <c r="B8" s="8">
        <v>73.0</v>
      </c>
      <c r="C8" s="8">
        <v>90.0</v>
      </c>
      <c r="D8" s="9">
        <f t="shared" si="1"/>
        <v>81.5</v>
      </c>
      <c r="E8" s="8">
        <f t="shared" si="2"/>
        <v>79</v>
      </c>
      <c r="F8" s="8">
        <f t="shared" ref="F8:F12" si="4">ROUND(F7*1.1,0)</f>
        <v>99</v>
      </c>
      <c r="G8" s="8">
        <f t="shared" si="3"/>
        <v>89</v>
      </c>
      <c r="H8" s="8">
        <v>0.8</v>
      </c>
      <c r="I8" s="10"/>
      <c r="J8" s="1"/>
    </row>
    <row r="9" ht="13.5" customHeight="1">
      <c r="A9" s="8">
        <v>2.0</v>
      </c>
      <c r="B9" s="8">
        <v>82.0</v>
      </c>
      <c r="C9" s="8">
        <v>101.0</v>
      </c>
      <c r="D9" s="9">
        <f t="shared" si="1"/>
        <v>91.5</v>
      </c>
      <c r="E9" s="8">
        <f t="shared" si="2"/>
        <v>87</v>
      </c>
      <c r="F9" s="8">
        <f t="shared" si="4"/>
        <v>109</v>
      </c>
      <c r="G9" s="8">
        <f t="shared" si="3"/>
        <v>98</v>
      </c>
      <c r="H9" s="8">
        <v>0.8</v>
      </c>
      <c r="I9" s="1"/>
    </row>
    <row r="10" ht="13.5" customHeight="1">
      <c r="A10" s="8">
        <v>3.0</v>
      </c>
      <c r="B10" s="8">
        <v>92.0</v>
      </c>
      <c r="C10" s="8">
        <v>113.0</v>
      </c>
      <c r="D10" s="9">
        <f t="shared" si="1"/>
        <v>102.5</v>
      </c>
      <c r="E10" s="8">
        <f t="shared" si="2"/>
        <v>96</v>
      </c>
      <c r="F10" s="8">
        <f t="shared" si="4"/>
        <v>120</v>
      </c>
      <c r="G10" s="8">
        <f t="shared" si="3"/>
        <v>108</v>
      </c>
      <c r="H10" s="8">
        <v>0.8</v>
      </c>
    </row>
    <row r="11" ht="13.5" customHeight="1">
      <c r="A11" s="8">
        <v>4.0</v>
      </c>
      <c r="B11" s="8">
        <v>103.0</v>
      </c>
      <c r="C11" s="8">
        <v>127.0</v>
      </c>
      <c r="D11" s="9">
        <f t="shared" si="1"/>
        <v>115</v>
      </c>
      <c r="E11" s="8">
        <f t="shared" si="2"/>
        <v>106</v>
      </c>
      <c r="F11" s="8">
        <f t="shared" si="4"/>
        <v>132</v>
      </c>
      <c r="G11" s="8">
        <f t="shared" si="3"/>
        <v>119</v>
      </c>
      <c r="H11" s="8">
        <v>0.8</v>
      </c>
    </row>
    <row r="12" ht="13.5" customHeight="1">
      <c r="A12" s="8">
        <v>5.0</v>
      </c>
      <c r="B12" s="8">
        <v>115.0</v>
      </c>
      <c r="C12" s="8">
        <v>142.0</v>
      </c>
      <c r="D12" s="9">
        <f t="shared" si="1"/>
        <v>128.5</v>
      </c>
      <c r="E12" s="8">
        <f t="shared" si="2"/>
        <v>116</v>
      </c>
      <c r="F12" s="8">
        <f t="shared" si="4"/>
        <v>145</v>
      </c>
      <c r="G12" s="8">
        <f t="shared" si="3"/>
        <v>130.5</v>
      </c>
      <c r="H12" s="8">
        <v>0.8</v>
      </c>
    </row>
    <row r="13">
      <c r="K13" s="11"/>
    </row>
    <row r="14">
      <c r="K14" s="11"/>
    </row>
    <row r="15">
      <c r="A15" s="3" t="s">
        <v>10</v>
      </c>
      <c r="B15" s="4"/>
      <c r="C15" s="5"/>
      <c r="K15" s="11"/>
    </row>
    <row r="16">
      <c r="A16" s="2" t="s">
        <v>11</v>
      </c>
      <c r="B16" s="2" t="s">
        <v>12</v>
      </c>
      <c r="C16" s="2" t="s">
        <v>13</v>
      </c>
      <c r="K16" s="11"/>
    </row>
    <row r="17">
      <c r="A17" s="2" t="s">
        <v>14</v>
      </c>
      <c r="B17" s="2" t="s">
        <v>15</v>
      </c>
      <c r="C17" s="12" t="s">
        <v>16</v>
      </c>
      <c r="K17" s="11"/>
    </row>
    <row r="18">
      <c r="K18" s="11"/>
    </row>
    <row r="19">
      <c r="K19" s="11"/>
    </row>
    <row r="20">
      <c r="A20" s="2" t="s">
        <v>17</v>
      </c>
      <c r="K20" s="11"/>
    </row>
    <row r="21">
      <c r="A21" s="2" t="s">
        <v>18</v>
      </c>
      <c r="B21" s="2" t="s">
        <v>19</v>
      </c>
      <c r="C21" s="2" t="s">
        <v>20</v>
      </c>
      <c r="D21" s="2" t="s">
        <v>21</v>
      </c>
    </row>
    <row r="22">
      <c r="A22" s="13" t="s">
        <v>22</v>
      </c>
      <c r="B22" s="12" t="s">
        <v>23</v>
      </c>
      <c r="C22" s="13" t="s">
        <v>24</v>
      </c>
      <c r="D22" s="13" t="s">
        <v>25</v>
      </c>
    </row>
  </sheetData>
  <mergeCells count="3">
    <mergeCell ref="B3:G3"/>
    <mergeCell ref="I11:M11"/>
    <mergeCell ref="A15:C15"/>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0.5"/>
    <col customWidth="1" min="3" max="3" width="17.75"/>
    <col customWidth="1" min="4" max="4" width="17.25"/>
    <col customWidth="1" min="5" max="5" width="18.13"/>
    <col customWidth="1" min="6" max="6" width="18.5"/>
    <col customWidth="1" min="7" max="7" width="25.63"/>
    <col customWidth="1" min="10" max="10" width="28.88"/>
    <col customWidth="1" min="11" max="11" width="16.25"/>
    <col customWidth="1" min="12" max="12" width="2.75"/>
    <col customWidth="1" min="13" max="13" width="2.5"/>
    <col customWidth="1" min="14" max="14" width="2.63"/>
    <col customWidth="1" min="15" max="16" width="3.13"/>
  </cols>
  <sheetData>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117.0</v>
      </c>
      <c r="C6" s="8">
        <v>136.0</v>
      </c>
      <c r="D6" s="9">
        <f t="shared" ref="D6:D12" si="1">AVERAGE(B6:C6)</f>
        <v>126.5</v>
      </c>
      <c r="E6" s="8">
        <f t="shared" ref="E6:E12" si="2">ROUND(F6*H6,0)</f>
        <v>108</v>
      </c>
      <c r="F6" s="8">
        <f>ROUND(F7 * 0.9,0)</f>
        <v>135</v>
      </c>
      <c r="G6" s="8">
        <f t="shared" ref="G6:G12" si="3">AVERAGE(E6:F6)</f>
        <v>121.5</v>
      </c>
      <c r="H6" s="8">
        <v>0.8</v>
      </c>
    </row>
    <row r="7" ht="22.5" customHeight="1">
      <c r="A7" s="8">
        <v>0.0</v>
      </c>
      <c r="B7" s="8">
        <v>124.0</v>
      </c>
      <c r="C7" s="8">
        <v>144.0</v>
      </c>
      <c r="D7" s="9">
        <f t="shared" si="1"/>
        <v>134</v>
      </c>
      <c r="E7" s="8">
        <f t="shared" si="2"/>
        <v>120</v>
      </c>
      <c r="F7" s="8">
        <v>150.0</v>
      </c>
      <c r="G7" s="8">
        <f t="shared" si="3"/>
        <v>135</v>
      </c>
      <c r="H7" s="8">
        <v>0.8</v>
      </c>
    </row>
    <row r="8" ht="22.5" customHeight="1">
      <c r="A8" s="8">
        <v>1.0</v>
      </c>
      <c r="B8" s="8">
        <v>139.0</v>
      </c>
      <c r="C8" s="8">
        <v>161.0</v>
      </c>
      <c r="D8" s="9">
        <f t="shared" si="1"/>
        <v>150</v>
      </c>
      <c r="E8" s="8">
        <f t="shared" si="2"/>
        <v>132</v>
      </c>
      <c r="F8" s="8">
        <f t="shared" ref="F8:F12" si="4">ROUND(F7*1.1,0)</f>
        <v>165</v>
      </c>
      <c r="G8" s="8">
        <f t="shared" si="3"/>
        <v>148.5</v>
      </c>
      <c r="H8" s="8">
        <v>0.8</v>
      </c>
      <c r="K8" s="10"/>
      <c r="L8" s="1"/>
    </row>
    <row r="9" ht="22.5" customHeight="1">
      <c r="A9" s="8">
        <v>2.0</v>
      </c>
      <c r="B9" s="8">
        <v>156.0</v>
      </c>
      <c r="C9" s="8">
        <v>180.0</v>
      </c>
      <c r="D9" s="9">
        <f t="shared" si="1"/>
        <v>168</v>
      </c>
      <c r="E9" s="8">
        <f t="shared" si="2"/>
        <v>146</v>
      </c>
      <c r="F9" s="8">
        <f t="shared" si="4"/>
        <v>182</v>
      </c>
      <c r="G9" s="8">
        <f t="shared" si="3"/>
        <v>164</v>
      </c>
      <c r="H9" s="8">
        <v>0.8</v>
      </c>
      <c r="K9" s="14"/>
    </row>
    <row r="10" ht="16.5" customHeight="1">
      <c r="A10" s="8">
        <v>3.0</v>
      </c>
      <c r="B10" s="8">
        <v>175.0</v>
      </c>
      <c r="C10" s="8">
        <v>202.0</v>
      </c>
      <c r="D10" s="9">
        <f t="shared" si="1"/>
        <v>188.5</v>
      </c>
      <c r="E10" s="8">
        <f t="shared" si="2"/>
        <v>160</v>
      </c>
      <c r="F10" s="8">
        <f t="shared" si="4"/>
        <v>200</v>
      </c>
      <c r="G10" s="8">
        <f t="shared" si="3"/>
        <v>180</v>
      </c>
      <c r="H10" s="8">
        <v>0.8</v>
      </c>
      <c r="K10" s="15"/>
    </row>
    <row r="11" ht="22.5" customHeight="1">
      <c r="A11" s="8">
        <v>4.0</v>
      </c>
      <c r="B11" s="8">
        <v>196.0</v>
      </c>
      <c r="C11" s="8">
        <v>226.0</v>
      </c>
      <c r="D11" s="9">
        <f t="shared" si="1"/>
        <v>211</v>
      </c>
      <c r="E11" s="8">
        <f t="shared" si="2"/>
        <v>176</v>
      </c>
      <c r="F11" s="8">
        <f t="shared" si="4"/>
        <v>220</v>
      </c>
      <c r="G11" s="8">
        <f t="shared" si="3"/>
        <v>198</v>
      </c>
      <c r="H11" s="8">
        <v>0.8</v>
      </c>
    </row>
    <row r="12" ht="22.5" customHeight="1">
      <c r="A12" s="8">
        <v>5.0</v>
      </c>
      <c r="B12" s="8">
        <v>220.0</v>
      </c>
      <c r="C12" s="8">
        <v>253.0</v>
      </c>
      <c r="D12" s="9">
        <f t="shared" si="1"/>
        <v>236.5</v>
      </c>
      <c r="E12" s="8">
        <f t="shared" si="2"/>
        <v>194</v>
      </c>
      <c r="F12" s="8">
        <f t="shared" si="4"/>
        <v>242</v>
      </c>
      <c r="G12" s="8">
        <f t="shared" si="3"/>
        <v>218</v>
      </c>
      <c r="H12" s="8">
        <v>0.8</v>
      </c>
      <c r="M12" s="11"/>
      <c r="N12" s="11"/>
      <c r="O12" s="11"/>
    </row>
    <row r="13">
      <c r="M13" s="11"/>
      <c r="N13" s="11"/>
      <c r="O13" s="11"/>
    </row>
    <row r="14">
      <c r="M14" s="11"/>
      <c r="N14" s="11"/>
      <c r="O14" s="11"/>
    </row>
    <row r="16">
      <c r="A16" s="3" t="s">
        <v>10</v>
      </c>
      <c r="B16" s="4"/>
      <c r="C16" s="5"/>
    </row>
    <row r="17">
      <c r="A17" s="2" t="s">
        <v>11</v>
      </c>
      <c r="B17" s="2" t="s">
        <v>12</v>
      </c>
      <c r="C17" s="2" t="s">
        <v>13</v>
      </c>
    </row>
    <row r="18">
      <c r="A18" s="12" t="s">
        <v>26</v>
      </c>
      <c r="B18" s="2" t="s">
        <v>27</v>
      </c>
      <c r="C18" s="12" t="s">
        <v>28</v>
      </c>
    </row>
    <row r="20">
      <c r="A20" s="2" t="s">
        <v>17</v>
      </c>
    </row>
    <row r="21">
      <c r="A21" s="2" t="s">
        <v>18</v>
      </c>
      <c r="B21" s="2" t="s">
        <v>19</v>
      </c>
      <c r="C21" s="2" t="s">
        <v>20</v>
      </c>
      <c r="D21" s="2" t="s">
        <v>21</v>
      </c>
    </row>
    <row r="22" ht="37.5" customHeight="1">
      <c r="A22" s="12" t="s">
        <v>29</v>
      </c>
      <c r="B22" s="12" t="s">
        <v>30</v>
      </c>
      <c r="C22" s="12" t="s">
        <v>31</v>
      </c>
      <c r="D22" s="12" t="s">
        <v>32</v>
      </c>
    </row>
  </sheetData>
  <mergeCells count="3">
    <mergeCell ref="B3:G3"/>
    <mergeCell ref="L10:P10"/>
    <mergeCell ref="A16:C16"/>
  </mergeCells>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17.38"/>
    <col customWidth="1" min="3" max="3" width="17.75"/>
    <col customWidth="1" min="4" max="4" width="17.25"/>
    <col customWidth="1" min="5" max="5" width="18.13"/>
    <col customWidth="1" min="6" max="6" width="18.5"/>
    <col customWidth="1" min="7" max="7" width="25.63"/>
    <col customWidth="1" min="9" max="9" width="24.5"/>
    <col customWidth="1" min="10" max="14" width="2.88"/>
    <col customWidth="1" min="15" max="18" width="3.0"/>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66.0</v>
      </c>
      <c r="C6" s="8">
        <v>98.0</v>
      </c>
      <c r="D6" s="9">
        <f t="shared" ref="D6:D12" si="1">AVERAGE(B6:C6)</f>
        <v>82</v>
      </c>
      <c r="E6" s="8">
        <f t="shared" ref="E6:E12" si="2">ROUND(F6*H6,0)</f>
        <v>60</v>
      </c>
      <c r="F6" s="8">
        <f>ROUND(F7 * 0.9,0)</f>
        <v>92</v>
      </c>
      <c r="G6" s="8">
        <f t="shared" ref="G6:G12" si="3">AVERAGE(E6:F6)</f>
        <v>76</v>
      </c>
      <c r="H6" s="8">
        <v>0.65</v>
      </c>
    </row>
    <row r="7" ht="22.5" customHeight="1">
      <c r="A7" s="8">
        <v>0.0</v>
      </c>
      <c r="B7" s="8">
        <v>69.0</v>
      </c>
      <c r="C7" s="8">
        <v>105.0</v>
      </c>
      <c r="D7" s="9">
        <f t="shared" si="1"/>
        <v>87</v>
      </c>
      <c r="E7" s="8">
        <f t="shared" si="2"/>
        <v>66</v>
      </c>
      <c r="F7" s="8">
        <v>102.0</v>
      </c>
      <c r="G7" s="8">
        <f t="shared" si="3"/>
        <v>84</v>
      </c>
      <c r="H7" s="8">
        <v>0.65</v>
      </c>
    </row>
    <row r="8" ht="22.5" customHeight="1">
      <c r="A8" s="8">
        <v>1.0</v>
      </c>
      <c r="B8" s="8">
        <v>75.0</v>
      </c>
      <c r="C8" s="8">
        <v>120.0</v>
      </c>
      <c r="D8" s="9">
        <f t="shared" si="1"/>
        <v>97.5</v>
      </c>
      <c r="E8" s="8">
        <f t="shared" si="2"/>
        <v>73</v>
      </c>
      <c r="F8" s="8">
        <f t="shared" ref="F8:F12" si="4">ROUND(F7*1.1,0)</f>
        <v>112</v>
      </c>
      <c r="G8" s="8">
        <f t="shared" si="3"/>
        <v>92.5</v>
      </c>
      <c r="H8" s="8">
        <v>0.65</v>
      </c>
    </row>
    <row r="9" ht="15.0" customHeight="1">
      <c r="A9" s="8">
        <v>2.0</v>
      </c>
      <c r="B9" s="8">
        <v>81.0</v>
      </c>
      <c r="C9" s="8">
        <v>137.0</v>
      </c>
      <c r="D9" s="9">
        <f t="shared" si="1"/>
        <v>109</v>
      </c>
      <c r="E9" s="8">
        <f t="shared" si="2"/>
        <v>80</v>
      </c>
      <c r="F9" s="8">
        <f t="shared" si="4"/>
        <v>123</v>
      </c>
      <c r="G9" s="8">
        <f t="shared" si="3"/>
        <v>101.5</v>
      </c>
      <c r="H9" s="8">
        <v>0.65</v>
      </c>
      <c r="J9" s="1"/>
    </row>
    <row r="10" ht="22.5" customHeight="1">
      <c r="A10" s="8">
        <v>3.0</v>
      </c>
      <c r="B10" s="8">
        <v>87.0</v>
      </c>
      <c r="C10" s="8">
        <v>156.0</v>
      </c>
      <c r="D10" s="9">
        <f t="shared" si="1"/>
        <v>121.5</v>
      </c>
      <c r="E10" s="8">
        <f t="shared" si="2"/>
        <v>88</v>
      </c>
      <c r="F10" s="8">
        <f t="shared" si="4"/>
        <v>135</v>
      </c>
      <c r="G10" s="8">
        <f t="shared" si="3"/>
        <v>111.5</v>
      </c>
      <c r="H10" s="8">
        <v>0.65</v>
      </c>
    </row>
    <row r="11" ht="15.0" customHeight="1">
      <c r="A11" s="8">
        <v>4.0</v>
      </c>
      <c r="B11" s="8">
        <v>94.0</v>
      </c>
      <c r="C11" s="8">
        <v>178.0</v>
      </c>
      <c r="D11" s="9">
        <f t="shared" si="1"/>
        <v>136</v>
      </c>
      <c r="E11" s="8">
        <f t="shared" si="2"/>
        <v>97</v>
      </c>
      <c r="F11" s="8">
        <f t="shared" si="4"/>
        <v>149</v>
      </c>
      <c r="G11" s="8">
        <f t="shared" si="3"/>
        <v>123</v>
      </c>
      <c r="H11" s="8">
        <v>0.65</v>
      </c>
    </row>
    <row r="12" ht="21.75" customHeight="1">
      <c r="A12" s="8">
        <v>5.0</v>
      </c>
      <c r="B12" s="8">
        <v>102.0</v>
      </c>
      <c r="C12" s="8">
        <v>203.0</v>
      </c>
      <c r="D12" s="9">
        <f t="shared" si="1"/>
        <v>152.5</v>
      </c>
      <c r="E12" s="8">
        <f t="shared" si="2"/>
        <v>107</v>
      </c>
      <c r="F12" s="8">
        <f t="shared" si="4"/>
        <v>164</v>
      </c>
      <c r="G12" s="8">
        <f t="shared" si="3"/>
        <v>135.5</v>
      </c>
      <c r="H12" s="8">
        <v>0.65</v>
      </c>
    </row>
    <row r="13">
      <c r="A13" s="3" t="s">
        <v>10</v>
      </c>
      <c r="B13" s="4"/>
      <c r="C13" s="5"/>
    </row>
    <row r="14">
      <c r="A14" s="2" t="s">
        <v>11</v>
      </c>
      <c r="B14" s="2" t="s">
        <v>12</v>
      </c>
      <c r="C14" s="2" t="s">
        <v>13</v>
      </c>
    </row>
    <row r="15">
      <c r="A15" s="13" t="s">
        <v>27</v>
      </c>
      <c r="B15" s="13" t="s">
        <v>33</v>
      </c>
      <c r="C15" s="13" t="s">
        <v>34</v>
      </c>
      <c r="J15" s="1" t="s">
        <v>35</v>
      </c>
    </row>
    <row r="16">
      <c r="E16" s="11"/>
      <c r="F16" s="11"/>
      <c r="G16" s="11"/>
      <c r="J16" s="16"/>
      <c r="K16" s="16"/>
      <c r="L16" s="16"/>
    </row>
    <row r="17">
      <c r="A17" s="1" t="s">
        <v>36</v>
      </c>
      <c r="J17" s="16"/>
      <c r="K17" s="17"/>
      <c r="L17" s="17"/>
      <c r="M17" s="11"/>
      <c r="P17" s="18"/>
      <c r="Q17" s="18"/>
    </row>
    <row r="18">
      <c r="A18" s="1" t="s">
        <v>37</v>
      </c>
      <c r="B18" s="1" t="s">
        <v>38</v>
      </c>
      <c r="C18" s="1" t="s">
        <v>39</v>
      </c>
      <c r="D18" s="1" t="s">
        <v>40</v>
      </c>
      <c r="J18" s="16"/>
      <c r="K18" s="17"/>
      <c r="L18" s="19"/>
      <c r="M18" s="18"/>
      <c r="N18" s="18"/>
      <c r="P18" s="18"/>
      <c r="Q18" s="20"/>
      <c r="R18" s="11"/>
    </row>
    <row r="19">
      <c r="A19" s="21" t="s">
        <v>41</v>
      </c>
      <c r="B19" s="21" t="s">
        <v>42</v>
      </c>
      <c r="C19" s="21" t="s">
        <v>43</v>
      </c>
      <c r="D19" s="21" t="s">
        <v>44</v>
      </c>
    </row>
    <row r="21">
      <c r="F21" s="11"/>
      <c r="G21" s="20"/>
      <c r="H21" s="18"/>
    </row>
  </sheetData>
  <mergeCells count="4">
    <mergeCell ref="B3:G3"/>
    <mergeCell ref="A13:C13"/>
    <mergeCell ref="D14:H14"/>
    <mergeCell ref="J15:N15"/>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21.0"/>
    <col customWidth="1" min="5" max="5" width="18.13"/>
    <col customWidth="1" min="6" max="6" width="18.5"/>
    <col customWidth="1" min="7" max="7" width="25.63"/>
    <col customWidth="1" min="10" max="10" width="24.5"/>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61.0</v>
      </c>
      <c r="C6" s="8">
        <v>79.0</v>
      </c>
      <c r="D6" s="9">
        <f t="shared" ref="D6:D12" si="1">AVERAGE(B6:C6)</f>
        <v>70</v>
      </c>
      <c r="E6" s="8">
        <f t="shared" ref="E6:E12" si="2">ROUND(F6*H6,0)</f>
        <v>72</v>
      </c>
      <c r="F6" s="8">
        <f>ROUND(F7 * 0.9,0)</f>
        <v>90</v>
      </c>
      <c r="G6" s="8">
        <f t="shared" ref="G6:G12" si="3">AVERAGE(E6:F6)</f>
        <v>81</v>
      </c>
      <c r="H6" s="8">
        <v>0.8</v>
      </c>
    </row>
    <row r="7" ht="22.5" customHeight="1">
      <c r="A7" s="8">
        <v>0.0</v>
      </c>
      <c r="B7" s="8">
        <v>78.0</v>
      </c>
      <c r="C7" s="8">
        <v>90.0</v>
      </c>
      <c r="D7" s="9">
        <f t="shared" si="1"/>
        <v>84</v>
      </c>
      <c r="E7" s="8">
        <f t="shared" si="2"/>
        <v>80</v>
      </c>
      <c r="F7" s="8">
        <v>100.0</v>
      </c>
      <c r="G7" s="8">
        <f t="shared" si="3"/>
        <v>90</v>
      </c>
      <c r="H7" s="8">
        <v>0.8</v>
      </c>
    </row>
    <row r="8" ht="22.5" customHeight="1">
      <c r="A8" s="8">
        <v>1.0</v>
      </c>
      <c r="B8" s="8">
        <v>87.0</v>
      </c>
      <c r="C8" s="8">
        <v>101.0</v>
      </c>
      <c r="D8" s="9">
        <f t="shared" si="1"/>
        <v>94</v>
      </c>
      <c r="E8" s="8">
        <f t="shared" si="2"/>
        <v>88</v>
      </c>
      <c r="F8" s="8">
        <f t="shared" ref="F8:F12" si="4">ROUND(F7*1.1,0)</f>
        <v>110</v>
      </c>
      <c r="G8" s="8">
        <f t="shared" si="3"/>
        <v>99</v>
      </c>
      <c r="H8" s="8">
        <v>0.8</v>
      </c>
    </row>
    <row r="9" ht="22.5" customHeight="1">
      <c r="A9" s="8">
        <v>2.0</v>
      </c>
      <c r="B9" s="8">
        <v>97.0</v>
      </c>
      <c r="C9" s="8">
        <v>113.0</v>
      </c>
      <c r="D9" s="9">
        <f t="shared" si="1"/>
        <v>105</v>
      </c>
      <c r="E9" s="8">
        <f t="shared" si="2"/>
        <v>97</v>
      </c>
      <c r="F9" s="8">
        <f t="shared" si="4"/>
        <v>121</v>
      </c>
      <c r="G9" s="8">
        <f t="shared" si="3"/>
        <v>109</v>
      </c>
      <c r="H9" s="8">
        <v>0.8</v>
      </c>
    </row>
    <row r="10" ht="15.0" customHeight="1">
      <c r="A10" s="8">
        <v>3.0</v>
      </c>
      <c r="B10" s="8">
        <v>109.0</v>
      </c>
      <c r="C10" s="8">
        <v>127.0</v>
      </c>
      <c r="D10" s="9">
        <f t="shared" si="1"/>
        <v>118</v>
      </c>
      <c r="E10" s="8">
        <f t="shared" si="2"/>
        <v>106</v>
      </c>
      <c r="F10" s="8">
        <f t="shared" si="4"/>
        <v>133</v>
      </c>
      <c r="G10" s="8">
        <f t="shared" si="3"/>
        <v>119.5</v>
      </c>
      <c r="H10" s="8">
        <v>0.8</v>
      </c>
    </row>
    <row r="11" ht="19.5" customHeight="1">
      <c r="A11" s="8">
        <v>4.0</v>
      </c>
      <c r="B11" s="8">
        <v>122.0</v>
      </c>
      <c r="C11" s="8">
        <v>142.0</v>
      </c>
      <c r="D11" s="9">
        <f t="shared" si="1"/>
        <v>132</v>
      </c>
      <c r="E11" s="8">
        <f t="shared" si="2"/>
        <v>117</v>
      </c>
      <c r="F11" s="8">
        <f t="shared" si="4"/>
        <v>146</v>
      </c>
      <c r="G11" s="8">
        <f t="shared" si="3"/>
        <v>131.5</v>
      </c>
      <c r="H11" s="8">
        <v>0.8</v>
      </c>
    </row>
    <row r="12" ht="22.5" customHeight="1">
      <c r="A12" s="8">
        <v>5.0</v>
      </c>
      <c r="B12" s="8">
        <v>137.0</v>
      </c>
      <c r="C12" s="8">
        <v>159.0</v>
      </c>
      <c r="D12" s="9">
        <f t="shared" si="1"/>
        <v>148</v>
      </c>
      <c r="E12" s="8">
        <f t="shared" si="2"/>
        <v>129</v>
      </c>
      <c r="F12" s="8">
        <f t="shared" si="4"/>
        <v>161</v>
      </c>
      <c r="G12" s="8">
        <f t="shared" si="3"/>
        <v>145</v>
      </c>
      <c r="H12" s="8">
        <v>0.8</v>
      </c>
    </row>
    <row r="15">
      <c r="A15" s="3" t="s">
        <v>10</v>
      </c>
      <c r="B15" s="4"/>
      <c r="C15" s="5"/>
      <c r="D15" s="6"/>
    </row>
    <row r="16">
      <c r="A16" s="2" t="s">
        <v>11</v>
      </c>
      <c r="B16" s="2" t="s">
        <v>12</v>
      </c>
      <c r="C16" s="2" t="s">
        <v>13</v>
      </c>
      <c r="D16" s="2" t="s">
        <v>45</v>
      </c>
    </row>
    <row r="17">
      <c r="A17" s="13" t="s">
        <v>46</v>
      </c>
      <c r="B17" s="13" t="s">
        <v>47</v>
      </c>
      <c r="C17" s="13" t="s">
        <v>48</v>
      </c>
      <c r="D17" s="13" t="s">
        <v>49</v>
      </c>
    </row>
    <row r="19">
      <c r="A19" s="1" t="s">
        <v>36</v>
      </c>
    </row>
    <row r="20">
      <c r="A20" s="1" t="s">
        <v>37</v>
      </c>
      <c r="B20" s="1" t="s">
        <v>38</v>
      </c>
      <c r="C20" s="1" t="s">
        <v>39</v>
      </c>
      <c r="D20" s="1" t="s">
        <v>40</v>
      </c>
    </row>
    <row r="21">
      <c r="A21" s="21" t="s">
        <v>50</v>
      </c>
      <c r="B21" s="21" t="s">
        <v>51</v>
      </c>
      <c r="C21" s="21" t="s">
        <v>52</v>
      </c>
      <c r="D21" s="21" t="s">
        <v>53</v>
      </c>
    </row>
  </sheetData>
  <mergeCells count="2">
    <mergeCell ref="B3:G3"/>
    <mergeCell ref="A15:C15"/>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9" max="9" width="21.13"/>
    <col customWidth="1" min="10" max="10" width="24.5"/>
    <col customWidth="1" min="11" max="11" width="20.38"/>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17.25" customHeight="1">
      <c r="A6" s="8">
        <v>-1.0</v>
      </c>
      <c r="B6" s="8">
        <v>105.0</v>
      </c>
      <c r="C6" s="8">
        <v>140.0</v>
      </c>
      <c r="D6" s="9">
        <f t="shared" ref="D6:D12" si="1">AVERAGE(B6:C6)</f>
        <v>122.5</v>
      </c>
      <c r="E6" s="8">
        <f t="shared" ref="E6:E12" si="2">ROUND(F6*H6,0)</f>
        <v>98</v>
      </c>
      <c r="F6" s="8">
        <f>ROUND(F7 * 0.9,0)</f>
        <v>151</v>
      </c>
      <c r="G6" s="8">
        <f t="shared" ref="G6:G12" si="3">AVERAGE(E6:F6)</f>
        <v>124.5</v>
      </c>
      <c r="H6" s="8">
        <v>0.65</v>
      </c>
    </row>
    <row r="7" ht="22.5" customHeight="1">
      <c r="A7" s="8">
        <v>0.0</v>
      </c>
      <c r="B7" s="8">
        <v>111.0</v>
      </c>
      <c r="C7" s="8">
        <v>149.0</v>
      </c>
      <c r="D7" s="9">
        <f t="shared" si="1"/>
        <v>130</v>
      </c>
      <c r="E7" s="8">
        <f t="shared" si="2"/>
        <v>109</v>
      </c>
      <c r="F7" s="8">
        <v>168.0</v>
      </c>
      <c r="G7" s="8">
        <f t="shared" si="3"/>
        <v>138.5</v>
      </c>
      <c r="H7" s="8">
        <v>0.65</v>
      </c>
    </row>
    <row r="8" ht="14.25" customHeight="1">
      <c r="A8" s="8">
        <v>1.0</v>
      </c>
      <c r="B8" s="8">
        <v>124.0</v>
      </c>
      <c r="C8" s="8">
        <v>167.0</v>
      </c>
      <c r="D8" s="9">
        <f t="shared" si="1"/>
        <v>145.5</v>
      </c>
      <c r="E8" s="8">
        <f t="shared" si="2"/>
        <v>120</v>
      </c>
      <c r="F8" s="8">
        <f t="shared" ref="F8:F12" si="4">ROUND(F7*1.1,0)</f>
        <v>185</v>
      </c>
      <c r="G8" s="8">
        <f t="shared" si="3"/>
        <v>152.5</v>
      </c>
      <c r="H8" s="8">
        <v>0.65</v>
      </c>
      <c r="L8" s="1"/>
    </row>
    <row r="9" ht="22.5" customHeight="1">
      <c r="A9" s="8">
        <v>2.0</v>
      </c>
      <c r="B9" s="8">
        <v>139.0</v>
      </c>
      <c r="C9" s="8">
        <v>187.0</v>
      </c>
      <c r="D9" s="9">
        <f t="shared" si="1"/>
        <v>163</v>
      </c>
      <c r="E9" s="8">
        <f t="shared" si="2"/>
        <v>133</v>
      </c>
      <c r="F9" s="8">
        <f t="shared" si="4"/>
        <v>204</v>
      </c>
      <c r="G9" s="8">
        <f t="shared" si="3"/>
        <v>168.5</v>
      </c>
      <c r="H9" s="8">
        <v>0.65</v>
      </c>
    </row>
    <row r="10" ht="16.5" customHeight="1">
      <c r="A10" s="8">
        <v>3.0</v>
      </c>
      <c r="B10" s="8">
        <v>156.0</v>
      </c>
      <c r="C10" s="8">
        <v>209.0</v>
      </c>
      <c r="D10" s="9">
        <f t="shared" si="1"/>
        <v>182.5</v>
      </c>
      <c r="E10" s="8">
        <f t="shared" si="2"/>
        <v>146</v>
      </c>
      <c r="F10" s="8">
        <f t="shared" si="4"/>
        <v>224</v>
      </c>
      <c r="G10" s="8">
        <f t="shared" si="3"/>
        <v>185</v>
      </c>
      <c r="H10" s="8">
        <v>0.65</v>
      </c>
    </row>
    <row r="11" ht="16.5" customHeight="1">
      <c r="A11" s="8">
        <v>4.0</v>
      </c>
      <c r="B11" s="8">
        <v>175.0</v>
      </c>
      <c r="C11" s="8">
        <v>234.0</v>
      </c>
      <c r="D11" s="9">
        <f t="shared" si="1"/>
        <v>204.5</v>
      </c>
      <c r="E11" s="8">
        <f t="shared" si="2"/>
        <v>160</v>
      </c>
      <c r="F11" s="8">
        <f t="shared" si="4"/>
        <v>246</v>
      </c>
      <c r="G11" s="8">
        <f t="shared" si="3"/>
        <v>203</v>
      </c>
      <c r="H11" s="8">
        <v>0.65</v>
      </c>
    </row>
    <row r="12" ht="16.5" customHeight="1">
      <c r="A12" s="8">
        <v>5.0</v>
      </c>
      <c r="B12" s="8">
        <v>196.0</v>
      </c>
      <c r="C12" s="8">
        <v>292.0</v>
      </c>
      <c r="D12" s="9">
        <f t="shared" si="1"/>
        <v>244</v>
      </c>
      <c r="E12" s="8">
        <f t="shared" si="2"/>
        <v>176</v>
      </c>
      <c r="F12" s="8">
        <f t="shared" si="4"/>
        <v>271</v>
      </c>
      <c r="G12" s="8">
        <f t="shared" si="3"/>
        <v>223.5</v>
      </c>
      <c r="H12" s="8">
        <v>0.65</v>
      </c>
    </row>
    <row r="13" ht="16.5" customHeight="1"/>
    <row r="14" ht="18.0" customHeight="1"/>
    <row r="16">
      <c r="A16" s="1"/>
      <c r="B16" s="1"/>
      <c r="C16" s="1"/>
      <c r="D16" s="1"/>
    </row>
    <row r="17">
      <c r="A17" s="3" t="s">
        <v>10</v>
      </c>
      <c r="B17" s="4"/>
      <c r="C17" s="4"/>
      <c r="D17" s="5"/>
    </row>
    <row r="18">
      <c r="A18" s="2" t="s">
        <v>11</v>
      </c>
      <c r="B18" s="2" t="s">
        <v>12</v>
      </c>
      <c r="C18" s="3" t="s">
        <v>13</v>
      </c>
      <c r="D18" s="22" t="s">
        <v>54</v>
      </c>
    </row>
    <row r="19">
      <c r="A19" s="13" t="s">
        <v>48</v>
      </c>
      <c r="B19" s="13" t="s">
        <v>55</v>
      </c>
      <c r="C19" s="23" t="s">
        <v>48</v>
      </c>
      <c r="D19" s="24" t="s">
        <v>56</v>
      </c>
    </row>
    <row r="21">
      <c r="A21" s="1" t="s">
        <v>36</v>
      </c>
    </row>
    <row r="22">
      <c r="A22" s="1" t="s">
        <v>37</v>
      </c>
      <c r="B22" s="1" t="s">
        <v>38</v>
      </c>
      <c r="C22" s="1" t="s">
        <v>39</v>
      </c>
      <c r="D22" s="1" t="s">
        <v>40</v>
      </c>
    </row>
    <row r="23">
      <c r="A23" s="21" t="s">
        <v>57</v>
      </c>
      <c r="B23" s="21" t="s">
        <v>58</v>
      </c>
      <c r="C23" s="21" t="s">
        <v>59</v>
      </c>
      <c r="D23" s="21" t="s">
        <v>60</v>
      </c>
    </row>
  </sheetData>
  <mergeCells count="2">
    <mergeCell ref="B3:G3"/>
    <mergeCell ref="A17:D17"/>
  </mergeCells>
  <drawing r:id="rId4"/>
  <legacy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9" max="9" width="21.13"/>
    <col customWidth="1" min="10" max="10" width="24.5"/>
    <col customWidth="1" min="11" max="11" width="20.38"/>
    <col customWidth="1" min="12" max="12" width="39.75"/>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104.0</v>
      </c>
      <c r="C6" s="8">
        <v>135.0</v>
      </c>
      <c r="D6" s="9">
        <f t="shared" ref="D6:D12" si="1">AVERAGE(B6:C6)</f>
        <v>119.5</v>
      </c>
      <c r="E6" s="8">
        <f t="shared" ref="E6:E12" si="2">ROUND(F6*H6,0)</f>
        <v>81</v>
      </c>
      <c r="F6" s="8">
        <f>ROUND(F7 * 0.9,0)</f>
        <v>162</v>
      </c>
      <c r="G6" s="8">
        <f t="shared" ref="G6:G12" si="3">AVERAGE(E6:F6)</f>
        <v>121.5</v>
      </c>
      <c r="H6" s="8">
        <v>0.5</v>
      </c>
    </row>
    <row r="7" ht="22.5" customHeight="1">
      <c r="A7" s="8">
        <v>0.0</v>
      </c>
      <c r="B7" s="8">
        <v>110.0</v>
      </c>
      <c r="C7" s="8">
        <v>140.0</v>
      </c>
      <c r="D7" s="9">
        <f t="shared" si="1"/>
        <v>125</v>
      </c>
      <c r="E7" s="8">
        <f t="shared" si="2"/>
        <v>90</v>
      </c>
      <c r="F7" s="8">
        <v>180.0</v>
      </c>
      <c r="G7" s="8">
        <f t="shared" si="3"/>
        <v>135</v>
      </c>
      <c r="H7" s="8">
        <v>0.5</v>
      </c>
    </row>
    <row r="8" ht="22.5" customHeight="1">
      <c r="A8" s="8">
        <v>1.0</v>
      </c>
      <c r="B8" s="8">
        <v>123.0</v>
      </c>
      <c r="C8" s="8">
        <v>157.0</v>
      </c>
      <c r="D8" s="9">
        <f t="shared" si="1"/>
        <v>140</v>
      </c>
      <c r="E8" s="8">
        <f t="shared" si="2"/>
        <v>99</v>
      </c>
      <c r="F8" s="8">
        <f t="shared" ref="F8:F12" si="4">ROUND(F7*1.1,0)</f>
        <v>198</v>
      </c>
      <c r="G8" s="8">
        <f t="shared" si="3"/>
        <v>148.5</v>
      </c>
      <c r="H8" s="8">
        <v>0.5</v>
      </c>
    </row>
    <row r="9" ht="22.5" customHeight="1">
      <c r="A9" s="8">
        <v>2.0</v>
      </c>
      <c r="B9" s="8">
        <v>138.0</v>
      </c>
      <c r="C9" s="8">
        <v>176.0</v>
      </c>
      <c r="D9" s="9">
        <f t="shared" si="1"/>
        <v>157</v>
      </c>
      <c r="E9" s="8">
        <f t="shared" si="2"/>
        <v>109</v>
      </c>
      <c r="F9" s="8">
        <f t="shared" si="4"/>
        <v>218</v>
      </c>
      <c r="G9" s="8">
        <f t="shared" si="3"/>
        <v>163.5</v>
      </c>
      <c r="H9" s="8">
        <v>0.5</v>
      </c>
    </row>
    <row r="10" ht="22.5" customHeight="1">
      <c r="A10" s="8">
        <v>3.0</v>
      </c>
      <c r="B10" s="8">
        <v>155.0</v>
      </c>
      <c r="C10" s="8">
        <v>197.0</v>
      </c>
      <c r="D10" s="9">
        <f t="shared" si="1"/>
        <v>176</v>
      </c>
      <c r="E10" s="8">
        <f t="shared" si="2"/>
        <v>120</v>
      </c>
      <c r="F10" s="8">
        <f t="shared" si="4"/>
        <v>240</v>
      </c>
      <c r="G10" s="8">
        <f t="shared" si="3"/>
        <v>180</v>
      </c>
      <c r="H10" s="8">
        <v>0.5</v>
      </c>
    </row>
    <row r="11" ht="22.5" customHeight="1">
      <c r="A11" s="8">
        <v>4.0</v>
      </c>
      <c r="B11" s="8">
        <v>174.0</v>
      </c>
      <c r="C11" s="8">
        <v>221.0</v>
      </c>
      <c r="D11" s="9">
        <f t="shared" si="1"/>
        <v>197.5</v>
      </c>
      <c r="E11" s="8">
        <f t="shared" si="2"/>
        <v>132</v>
      </c>
      <c r="F11" s="8">
        <f t="shared" si="4"/>
        <v>264</v>
      </c>
      <c r="G11" s="8">
        <f t="shared" si="3"/>
        <v>198</v>
      </c>
      <c r="H11" s="8">
        <v>0.5</v>
      </c>
    </row>
    <row r="12" ht="22.5" customHeight="1">
      <c r="A12" s="8">
        <v>5.0</v>
      </c>
      <c r="B12" s="8">
        <v>195.0</v>
      </c>
      <c r="C12" s="8">
        <v>248.0</v>
      </c>
      <c r="D12" s="9">
        <f t="shared" si="1"/>
        <v>221.5</v>
      </c>
      <c r="E12" s="8">
        <f t="shared" si="2"/>
        <v>145</v>
      </c>
      <c r="F12" s="8">
        <f t="shared" si="4"/>
        <v>290</v>
      </c>
      <c r="G12" s="8">
        <f t="shared" si="3"/>
        <v>217.5</v>
      </c>
      <c r="H12" s="8">
        <v>0.5</v>
      </c>
    </row>
    <row r="14" ht="11.25" customHeight="1">
      <c r="L14" s="1"/>
    </row>
    <row r="15">
      <c r="A15" s="3" t="s">
        <v>10</v>
      </c>
      <c r="B15" s="4"/>
      <c r="C15" s="4"/>
      <c r="D15" s="4"/>
    </row>
    <row r="16" ht="39.0" customHeight="1">
      <c r="A16" s="2" t="s">
        <v>11</v>
      </c>
      <c r="B16" s="2" t="s">
        <v>12</v>
      </c>
      <c r="C16" s="3" t="s">
        <v>13</v>
      </c>
      <c r="D16" s="2" t="s">
        <v>54</v>
      </c>
    </row>
    <row r="17" ht="65.25" customHeight="1">
      <c r="A17" s="13"/>
      <c r="B17" s="13" t="s">
        <v>27</v>
      </c>
      <c r="C17" s="23" t="s">
        <v>61</v>
      </c>
      <c r="D17" s="13" t="s">
        <v>27</v>
      </c>
      <c r="L17" s="21"/>
    </row>
    <row r="18">
      <c r="K18" s="1"/>
    </row>
    <row r="19">
      <c r="A19" s="1" t="s">
        <v>36</v>
      </c>
    </row>
    <row r="20">
      <c r="A20" s="1" t="s">
        <v>37</v>
      </c>
      <c r="B20" s="1" t="s">
        <v>38</v>
      </c>
      <c r="C20" s="1" t="s">
        <v>39</v>
      </c>
      <c r="D20" s="1" t="s">
        <v>40</v>
      </c>
    </row>
    <row r="21">
      <c r="A21" s="21" t="s">
        <v>62</v>
      </c>
      <c r="B21" s="21" t="s">
        <v>63</v>
      </c>
      <c r="C21" s="21" t="s">
        <v>64</v>
      </c>
      <c r="D21" s="21" t="s">
        <v>65</v>
      </c>
    </row>
  </sheetData>
  <mergeCells count="2">
    <mergeCell ref="B3:G3"/>
    <mergeCell ref="A15:D15"/>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9" max="9" width="24.5"/>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79.0</v>
      </c>
      <c r="C6" s="8">
        <v>126.0</v>
      </c>
      <c r="D6" s="9">
        <f t="shared" ref="D6:D12" si="1">AVERAGE(B6:C6)</f>
        <v>102.5</v>
      </c>
      <c r="E6" s="8">
        <f t="shared" ref="E6:E12" si="2">ROUND(F6*H6,0)</f>
        <v>70</v>
      </c>
      <c r="F6" s="8">
        <f>ROUND(F7 * 0.9,0)</f>
        <v>139</v>
      </c>
      <c r="G6" s="8">
        <f t="shared" ref="G6:G12" si="3">AVERAGE(E6:F6)</f>
        <v>104.5</v>
      </c>
      <c r="H6" s="8">
        <v>0.5</v>
      </c>
    </row>
    <row r="7" ht="22.5" customHeight="1">
      <c r="A7" s="8">
        <v>0.0</v>
      </c>
      <c r="B7" s="8">
        <v>82.0</v>
      </c>
      <c r="C7" s="8">
        <v>136.0</v>
      </c>
      <c r="D7" s="9">
        <f t="shared" si="1"/>
        <v>109</v>
      </c>
      <c r="E7" s="8">
        <f t="shared" si="2"/>
        <v>77</v>
      </c>
      <c r="F7" s="8">
        <v>154.0</v>
      </c>
      <c r="G7" s="8">
        <f t="shared" si="3"/>
        <v>115.5</v>
      </c>
      <c r="H7" s="8">
        <v>0.5</v>
      </c>
    </row>
    <row r="8" ht="16.5" customHeight="1">
      <c r="A8" s="8">
        <v>1.0</v>
      </c>
      <c r="B8" s="8">
        <v>89.0</v>
      </c>
      <c r="C8" s="8">
        <v>155.0</v>
      </c>
      <c r="D8" s="9">
        <f t="shared" si="1"/>
        <v>122</v>
      </c>
      <c r="E8" s="8">
        <f t="shared" si="2"/>
        <v>85</v>
      </c>
      <c r="F8" s="8">
        <f t="shared" ref="F8:F12" si="4">ROUND(F7*1.1,0)</f>
        <v>169</v>
      </c>
      <c r="G8" s="8">
        <f t="shared" si="3"/>
        <v>127</v>
      </c>
      <c r="H8" s="8">
        <v>0.5</v>
      </c>
      <c r="K8" s="1"/>
    </row>
    <row r="9" ht="22.5" customHeight="1">
      <c r="A9" s="8">
        <v>2.0</v>
      </c>
      <c r="B9" s="8">
        <v>96.0</v>
      </c>
      <c r="C9" s="8">
        <v>177.0</v>
      </c>
      <c r="D9" s="9">
        <f t="shared" si="1"/>
        <v>136.5</v>
      </c>
      <c r="E9" s="8">
        <f t="shared" si="2"/>
        <v>93</v>
      </c>
      <c r="F9" s="8">
        <f t="shared" si="4"/>
        <v>186</v>
      </c>
      <c r="G9" s="8">
        <f t="shared" si="3"/>
        <v>139.5</v>
      </c>
      <c r="H9" s="8">
        <v>0.5</v>
      </c>
    </row>
    <row r="10" ht="15.0" customHeight="1">
      <c r="A10" s="8">
        <v>3.0</v>
      </c>
      <c r="B10" s="8">
        <v>104.0</v>
      </c>
      <c r="C10" s="8">
        <v>202.0</v>
      </c>
      <c r="D10" s="9">
        <f t="shared" si="1"/>
        <v>153</v>
      </c>
      <c r="E10" s="8">
        <f t="shared" si="2"/>
        <v>103</v>
      </c>
      <c r="F10" s="8">
        <f t="shared" si="4"/>
        <v>205</v>
      </c>
      <c r="G10" s="8">
        <f t="shared" si="3"/>
        <v>154</v>
      </c>
      <c r="H10" s="8">
        <v>0.5</v>
      </c>
    </row>
    <row r="11" ht="22.5" customHeight="1">
      <c r="A11" s="8">
        <v>4.0</v>
      </c>
      <c r="B11" s="8">
        <v>112.0</v>
      </c>
      <c r="C11" s="8">
        <v>230.0</v>
      </c>
      <c r="D11" s="9">
        <f t="shared" si="1"/>
        <v>171</v>
      </c>
      <c r="E11" s="8">
        <f t="shared" si="2"/>
        <v>113</v>
      </c>
      <c r="F11" s="8">
        <f t="shared" si="4"/>
        <v>226</v>
      </c>
      <c r="G11" s="8">
        <f t="shared" si="3"/>
        <v>169.5</v>
      </c>
      <c r="H11" s="8">
        <v>0.5</v>
      </c>
    </row>
    <row r="12" ht="22.5" customHeight="1">
      <c r="A12" s="8">
        <v>5.0</v>
      </c>
      <c r="B12" s="8">
        <v>121.0</v>
      </c>
      <c r="C12" s="8">
        <v>262.0</v>
      </c>
      <c r="D12" s="9">
        <f t="shared" si="1"/>
        <v>191.5</v>
      </c>
      <c r="E12" s="8">
        <f t="shared" si="2"/>
        <v>125</v>
      </c>
      <c r="F12" s="8">
        <f t="shared" si="4"/>
        <v>249</v>
      </c>
      <c r="G12" s="8">
        <f t="shared" si="3"/>
        <v>187</v>
      </c>
      <c r="H12" s="8">
        <v>0.5</v>
      </c>
    </row>
    <row r="13">
      <c r="A13" s="3" t="s">
        <v>10</v>
      </c>
      <c r="B13" s="4"/>
      <c r="C13" s="5"/>
    </row>
    <row r="14">
      <c r="A14" s="2" t="s">
        <v>11</v>
      </c>
      <c r="B14" s="2" t="s">
        <v>12</v>
      </c>
      <c r="C14" s="2" t="s">
        <v>13</v>
      </c>
    </row>
    <row r="15">
      <c r="A15" s="13" t="s">
        <v>27</v>
      </c>
      <c r="B15" s="13" t="s">
        <v>66</v>
      </c>
      <c r="C15" s="13" t="s">
        <v>48</v>
      </c>
    </row>
    <row r="16">
      <c r="E16" s="11"/>
      <c r="F16" s="11"/>
      <c r="G16" s="11"/>
    </row>
    <row r="17">
      <c r="A17" s="2" t="s">
        <v>36</v>
      </c>
      <c r="B17" s="6"/>
      <c r="C17" s="6"/>
      <c r="D17" s="6"/>
    </row>
    <row r="18">
      <c r="A18" s="2" t="s">
        <v>37</v>
      </c>
      <c r="B18" s="2" t="s">
        <v>38</v>
      </c>
      <c r="C18" s="2" t="s">
        <v>39</v>
      </c>
      <c r="D18" s="2" t="s">
        <v>40</v>
      </c>
    </row>
    <row r="19" ht="36.0" customHeight="1">
      <c r="A19" s="25" t="s">
        <v>67</v>
      </c>
      <c r="B19" s="25" t="s">
        <v>68</v>
      </c>
      <c r="C19" s="25" t="s">
        <v>69</v>
      </c>
      <c r="D19" s="12" t="s">
        <v>70</v>
      </c>
    </row>
    <row r="20">
      <c r="A20" s="26"/>
      <c r="B20" s="26"/>
      <c r="C20" s="26"/>
      <c r="D20" s="21"/>
    </row>
  </sheetData>
  <mergeCells count="3">
    <mergeCell ref="B3:G3"/>
    <mergeCell ref="A13:C13"/>
    <mergeCell ref="D14:H14"/>
  </mergeCells>
  <drawing r:id="rId4"/>
  <legacyDrawing r:id="rId5"/>
  <tableParts count="1">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9" max="9" width="21.13"/>
    <col customWidth="1" min="10" max="10" width="24.5"/>
    <col customWidth="1" min="11" max="11" width="2.75"/>
    <col customWidth="1" min="12" max="12" width="2.5"/>
    <col customWidth="1" min="13" max="13" width="2.63"/>
    <col customWidth="1" min="14" max="15" width="3.13"/>
    <col customWidth="1" min="16" max="16" width="2.88"/>
    <col customWidth="1" min="17" max="17" width="2.0"/>
  </cols>
  <sheetData>
    <row r="1">
      <c r="B1" s="1"/>
    </row>
    <row r="2">
      <c r="B2" s="1" t="s">
        <v>0</v>
      </c>
    </row>
    <row r="3">
      <c r="A3" s="2"/>
      <c r="B3" s="3" t="s">
        <v>1</v>
      </c>
      <c r="C3" s="4"/>
      <c r="D3" s="4"/>
      <c r="E3" s="4"/>
      <c r="F3" s="4"/>
      <c r="G3" s="5"/>
      <c r="H3" s="6"/>
    </row>
    <row r="4">
      <c r="A4" s="1"/>
      <c r="B4" s="1"/>
      <c r="C4" s="1"/>
      <c r="D4" s="1"/>
      <c r="E4" s="1"/>
      <c r="F4" s="1"/>
      <c r="G4" s="1"/>
      <c r="H4" s="1"/>
      <c r="K4" s="1"/>
      <c r="L4" s="1"/>
      <c r="M4" s="1"/>
      <c r="N4" s="1"/>
      <c r="O4" s="1"/>
      <c r="P4" s="1"/>
      <c r="Q4" s="1"/>
    </row>
    <row r="5" ht="22.5" customHeight="1">
      <c r="A5" s="7" t="s">
        <v>2</v>
      </c>
      <c r="B5" s="7" t="s">
        <v>3</v>
      </c>
      <c r="C5" s="7" t="s">
        <v>4</v>
      </c>
      <c r="D5" s="7" t="s">
        <v>5</v>
      </c>
      <c r="E5" s="7" t="s">
        <v>6</v>
      </c>
      <c r="F5" s="7" t="s">
        <v>7</v>
      </c>
      <c r="G5" s="7" t="s">
        <v>8</v>
      </c>
      <c r="H5" s="7" t="s">
        <v>9</v>
      </c>
      <c r="K5" s="1" t="s">
        <v>71</v>
      </c>
    </row>
    <row r="6" ht="16.5" customHeight="1">
      <c r="A6" s="8">
        <v>-1.0</v>
      </c>
      <c r="B6" s="8">
        <v>85.0</v>
      </c>
      <c r="C6" s="8">
        <v>114.0</v>
      </c>
      <c r="D6" s="9">
        <f t="shared" ref="D6:D12" si="1">AVERAGE(B6:C6)</f>
        <v>99.5</v>
      </c>
      <c r="E6" s="8">
        <f t="shared" ref="E6:E12" si="2">ROUND(F6*H6,0)</f>
        <v>88</v>
      </c>
      <c r="F6" s="8">
        <f>ROUND(F7 * 0.9,0)</f>
        <v>110</v>
      </c>
      <c r="G6" s="8">
        <f t="shared" ref="G6:G12" si="3">AVERAGE(E6:F6)</f>
        <v>99</v>
      </c>
      <c r="H6" s="8">
        <v>0.8</v>
      </c>
    </row>
    <row r="7" ht="16.5" customHeight="1">
      <c r="A7" s="8">
        <v>0.0</v>
      </c>
      <c r="B7" s="8">
        <v>99.0</v>
      </c>
      <c r="C7" s="8">
        <v>126.0</v>
      </c>
      <c r="D7" s="9">
        <f t="shared" si="1"/>
        <v>112.5</v>
      </c>
      <c r="E7" s="8">
        <f t="shared" si="2"/>
        <v>98</v>
      </c>
      <c r="F7" s="8">
        <v>122.0</v>
      </c>
      <c r="G7" s="8">
        <f t="shared" si="3"/>
        <v>110</v>
      </c>
      <c r="H7" s="8">
        <v>0.8</v>
      </c>
      <c r="N7" s="16"/>
    </row>
    <row r="8" ht="16.5" customHeight="1">
      <c r="A8" s="8">
        <v>1.0</v>
      </c>
      <c r="B8" s="8">
        <v>111.0</v>
      </c>
      <c r="C8" s="8">
        <v>141.0</v>
      </c>
      <c r="D8" s="9">
        <f t="shared" si="1"/>
        <v>126</v>
      </c>
      <c r="E8" s="8">
        <f t="shared" si="2"/>
        <v>107</v>
      </c>
      <c r="F8" s="8">
        <f t="shared" ref="F8:F12" si="4">ROUND(F7*1.1,0)</f>
        <v>134</v>
      </c>
      <c r="G8" s="8">
        <f t="shared" si="3"/>
        <v>120.5</v>
      </c>
      <c r="H8" s="8">
        <v>0.8</v>
      </c>
      <c r="N8" s="16"/>
    </row>
    <row r="9" ht="16.5" customHeight="1">
      <c r="A9" s="8">
        <v>2.0</v>
      </c>
      <c r="B9" s="8">
        <v>124.0</v>
      </c>
      <c r="C9" s="8">
        <v>158.0</v>
      </c>
      <c r="D9" s="9">
        <f t="shared" si="1"/>
        <v>141</v>
      </c>
      <c r="E9" s="8">
        <f t="shared" si="2"/>
        <v>118</v>
      </c>
      <c r="F9" s="8">
        <f t="shared" si="4"/>
        <v>147</v>
      </c>
      <c r="G9" s="8">
        <f t="shared" si="3"/>
        <v>132.5</v>
      </c>
      <c r="H9" s="8">
        <v>0.8</v>
      </c>
      <c r="N9" s="16"/>
    </row>
    <row r="10" ht="16.5" customHeight="1">
      <c r="A10" s="8">
        <v>3.0</v>
      </c>
      <c r="B10" s="8">
        <v>139.0</v>
      </c>
      <c r="C10" s="8">
        <v>177.0</v>
      </c>
      <c r="D10" s="9">
        <f t="shared" si="1"/>
        <v>158</v>
      </c>
      <c r="E10" s="8">
        <f t="shared" si="2"/>
        <v>130</v>
      </c>
      <c r="F10" s="8">
        <f t="shared" si="4"/>
        <v>162</v>
      </c>
      <c r="G10" s="8">
        <f t="shared" si="3"/>
        <v>146</v>
      </c>
      <c r="H10" s="8">
        <v>0.8</v>
      </c>
      <c r="N10" s="16"/>
    </row>
    <row r="11" ht="16.5" customHeight="1">
      <c r="A11" s="8">
        <v>4.0</v>
      </c>
      <c r="B11" s="8">
        <v>156.0</v>
      </c>
      <c r="C11" s="8">
        <v>198.0</v>
      </c>
      <c r="D11" s="9">
        <f t="shared" si="1"/>
        <v>177</v>
      </c>
      <c r="E11" s="8">
        <f t="shared" si="2"/>
        <v>142</v>
      </c>
      <c r="F11" s="8">
        <f t="shared" si="4"/>
        <v>178</v>
      </c>
      <c r="G11" s="8">
        <f t="shared" si="3"/>
        <v>160</v>
      </c>
      <c r="H11" s="8">
        <v>0.8</v>
      </c>
    </row>
    <row r="12" ht="16.5" customHeight="1">
      <c r="A12" s="8">
        <v>5.0</v>
      </c>
      <c r="B12" s="8">
        <v>175.0</v>
      </c>
      <c r="C12" s="8">
        <v>222.0</v>
      </c>
      <c r="D12" s="9">
        <f t="shared" si="1"/>
        <v>198.5</v>
      </c>
      <c r="E12" s="8">
        <f t="shared" si="2"/>
        <v>157</v>
      </c>
      <c r="F12" s="8">
        <f t="shared" si="4"/>
        <v>196</v>
      </c>
      <c r="G12" s="8">
        <f t="shared" si="3"/>
        <v>176.5</v>
      </c>
      <c r="H12" s="8">
        <v>0.8</v>
      </c>
    </row>
    <row r="14" ht="11.25" customHeight="1"/>
    <row r="15" ht="12.0" customHeight="1"/>
    <row r="17">
      <c r="A17" s="3" t="s">
        <v>10</v>
      </c>
      <c r="B17" s="4"/>
      <c r="C17" s="4"/>
      <c r="D17" s="4"/>
    </row>
    <row r="18">
      <c r="A18" s="2" t="s">
        <v>11</v>
      </c>
      <c r="B18" s="2" t="s">
        <v>12</v>
      </c>
      <c r="C18" s="3" t="s">
        <v>13</v>
      </c>
      <c r="D18" s="10" t="s">
        <v>54</v>
      </c>
      <c r="K18" s="27"/>
      <c r="L18" s="27"/>
      <c r="P18" s="27"/>
      <c r="Q18" s="27"/>
    </row>
    <row r="19">
      <c r="A19" s="13" t="s">
        <v>72</v>
      </c>
      <c r="B19" s="13" t="s">
        <v>73</v>
      </c>
      <c r="C19" s="23"/>
      <c r="D19" s="28"/>
      <c r="K19" s="27"/>
      <c r="L19" s="27"/>
      <c r="P19" s="27"/>
      <c r="Q19" s="27"/>
    </row>
    <row r="20">
      <c r="H20" s="11"/>
      <c r="I20" s="11"/>
      <c r="K20" s="27"/>
      <c r="L20" s="27"/>
      <c r="P20" s="27"/>
      <c r="Q20" s="27"/>
    </row>
    <row r="21">
      <c r="A21" s="2" t="s">
        <v>36</v>
      </c>
      <c r="B21" s="6"/>
      <c r="C21" s="6"/>
      <c r="D21" s="6"/>
      <c r="H21" s="11"/>
      <c r="I21" s="11"/>
      <c r="K21" s="27"/>
      <c r="L21" s="27"/>
      <c r="M21" s="27"/>
    </row>
    <row r="22">
      <c r="A22" s="2" t="s">
        <v>37</v>
      </c>
      <c r="B22" s="2" t="s">
        <v>38</v>
      </c>
      <c r="C22" s="2" t="s">
        <v>39</v>
      </c>
      <c r="D22" s="2" t="s">
        <v>40</v>
      </c>
      <c r="H22" s="11"/>
      <c r="I22" s="11"/>
    </row>
    <row r="23">
      <c r="A23" s="29" t="s">
        <v>74</v>
      </c>
      <c r="B23" s="25" t="s">
        <v>75</v>
      </c>
      <c r="C23" s="29" t="s">
        <v>76</v>
      </c>
      <c r="D23" s="13" t="s">
        <v>77</v>
      </c>
      <c r="H23" s="11"/>
    </row>
    <row r="24">
      <c r="H24" s="11"/>
    </row>
  </sheetData>
  <mergeCells count="3">
    <mergeCell ref="B3:G3"/>
    <mergeCell ref="K5:Q5"/>
    <mergeCell ref="A17:D17"/>
  </mergeCells>
  <drawing r:id="rId4"/>
  <legacyDrawing r:id="rId5"/>
  <tableParts count="1">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22.0"/>
    <col customWidth="1" min="7" max="7" width="25.63"/>
    <col customWidth="1" min="9" max="9" width="16.25"/>
    <col customWidth="1" min="10" max="10" width="2.63"/>
    <col customWidth="1" min="11" max="13" width="2.38"/>
    <col customWidth="1" min="14" max="14" width="2.13"/>
    <col customWidth="1" min="15" max="15" width="2.38"/>
    <col customWidth="1" min="16" max="16" width="2.5"/>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74.0</v>
      </c>
      <c r="C6" s="8">
        <v>97.0</v>
      </c>
      <c r="D6" s="9">
        <f t="shared" ref="D6:D12" si="1">AVERAGE(B6:C6)</f>
        <v>85.5</v>
      </c>
      <c r="E6" s="8">
        <f t="shared" ref="E6:E12" si="2">ROUND(F6*H6,0)</f>
        <v>72</v>
      </c>
      <c r="F6" s="8">
        <f>ROUND(F7 * 0.9,0)</f>
        <v>110</v>
      </c>
      <c r="G6" s="8">
        <f t="shared" ref="G6:G12" si="3">AVERAGE(E6:F6)</f>
        <v>91</v>
      </c>
      <c r="H6" s="8">
        <v>0.65</v>
      </c>
    </row>
    <row r="7" ht="22.5" customHeight="1">
      <c r="A7" s="8">
        <v>0.0</v>
      </c>
      <c r="B7" s="8">
        <v>81.0</v>
      </c>
      <c r="C7" s="8">
        <v>104.0</v>
      </c>
      <c r="D7" s="9">
        <f t="shared" si="1"/>
        <v>92.5</v>
      </c>
      <c r="E7" s="8">
        <f t="shared" si="2"/>
        <v>79</v>
      </c>
      <c r="F7" s="8">
        <v>122.0</v>
      </c>
      <c r="G7" s="8">
        <f t="shared" si="3"/>
        <v>100.5</v>
      </c>
      <c r="H7" s="8">
        <v>0.65</v>
      </c>
    </row>
    <row r="8" ht="22.5" customHeight="1">
      <c r="A8" s="8">
        <v>1.0</v>
      </c>
      <c r="B8" s="8">
        <v>90.0</v>
      </c>
      <c r="C8" s="8">
        <v>115.0</v>
      </c>
      <c r="D8" s="9">
        <f t="shared" si="1"/>
        <v>102.5</v>
      </c>
      <c r="E8" s="8">
        <f t="shared" si="2"/>
        <v>87</v>
      </c>
      <c r="F8" s="8">
        <f t="shared" ref="F8:F12" si="4">ROUND(F7*1.1,0)</f>
        <v>134</v>
      </c>
      <c r="G8" s="8">
        <f t="shared" si="3"/>
        <v>110.5</v>
      </c>
      <c r="H8" s="8">
        <v>0.65</v>
      </c>
    </row>
    <row r="9" ht="22.5" customHeight="1">
      <c r="A9" s="8">
        <v>2.0</v>
      </c>
      <c r="B9" s="8">
        <v>100.0</v>
      </c>
      <c r="C9" s="8">
        <v>128.0</v>
      </c>
      <c r="D9" s="9">
        <f t="shared" si="1"/>
        <v>114</v>
      </c>
      <c r="E9" s="8">
        <f t="shared" si="2"/>
        <v>96</v>
      </c>
      <c r="F9" s="8">
        <f t="shared" si="4"/>
        <v>147</v>
      </c>
      <c r="G9" s="8">
        <f t="shared" si="3"/>
        <v>121.5</v>
      </c>
      <c r="H9" s="8">
        <v>0.65</v>
      </c>
    </row>
    <row r="10" ht="16.5" customHeight="1">
      <c r="A10" s="8">
        <v>3.0</v>
      </c>
      <c r="B10" s="8">
        <v>111.0</v>
      </c>
      <c r="C10" s="8">
        <v>142.0</v>
      </c>
      <c r="D10" s="9">
        <f t="shared" si="1"/>
        <v>126.5</v>
      </c>
      <c r="E10" s="8">
        <f t="shared" si="2"/>
        <v>105</v>
      </c>
      <c r="F10" s="8">
        <f t="shared" si="4"/>
        <v>162</v>
      </c>
      <c r="G10" s="8">
        <f t="shared" si="3"/>
        <v>133.5</v>
      </c>
      <c r="H10" s="8">
        <v>0.65</v>
      </c>
    </row>
    <row r="11" ht="22.5" customHeight="1">
      <c r="A11" s="8">
        <v>4.0</v>
      </c>
      <c r="B11" s="8">
        <v>123.0</v>
      </c>
      <c r="C11" s="8">
        <v>158.0</v>
      </c>
      <c r="D11" s="9">
        <f t="shared" si="1"/>
        <v>140.5</v>
      </c>
      <c r="E11" s="8">
        <f t="shared" si="2"/>
        <v>116</v>
      </c>
      <c r="F11" s="8">
        <f t="shared" si="4"/>
        <v>178</v>
      </c>
      <c r="G11" s="8">
        <f t="shared" si="3"/>
        <v>147</v>
      </c>
      <c r="H11" s="8">
        <v>0.65</v>
      </c>
    </row>
    <row r="12" ht="22.5" customHeight="1">
      <c r="A12" s="8">
        <v>5.0</v>
      </c>
      <c r="B12" s="8">
        <v>137.0</v>
      </c>
      <c r="C12" s="8">
        <v>175.0</v>
      </c>
      <c r="D12" s="9">
        <f t="shared" si="1"/>
        <v>156</v>
      </c>
      <c r="E12" s="8">
        <f t="shared" si="2"/>
        <v>127</v>
      </c>
      <c r="F12" s="8">
        <f t="shared" si="4"/>
        <v>196</v>
      </c>
      <c r="G12" s="8">
        <f t="shared" si="3"/>
        <v>161.5</v>
      </c>
      <c r="H12" s="8">
        <v>0.65</v>
      </c>
    </row>
    <row r="13">
      <c r="I13" s="1" t="s">
        <v>78</v>
      </c>
      <c r="L13" s="30"/>
      <c r="M13" s="30"/>
      <c r="N13" s="30"/>
    </row>
    <row r="14">
      <c r="L14" s="30"/>
      <c r="M14" s="30"/>
      <c r="N14" s="30"/>
    </row>
    <row r="15">
      <c r="L15" s="17"/>
      <c r="M15" s="17"/>
      <c r="N15" s="17"/>
    </row>
    <row r="16">
      <c r="M16" s="31"/>
    </row>
    <row r="17">
      <c r="A17" s="3" t="s">
        <v>10</v>
      </c>
      <c r="B17" s="4"/>
      <c r="C17" s="4"/>
      <c r="D17" s="10"/>
    </row>
    <row r="18">
      <c r="A18" s="2" t="s">
        <v>11</v>
      </c>
      <c r="B18" s="2" t="s">
        <v>12</v>
      </c>
      <c r="C18" s="3" t="s">
        <v>13</v>
      </c>
      <c r="D18" s="3" t="s">
        <v>54</v>
      </c>
      <c r="E18" s="2" t="s">
        <v>79</v>
      </c>
      <c r="F18" s="2" t="s">
        <v>45</v>
      </c>
    </row>
    <row r="19">
      <c r="A19" s="13" t="s">
        <v>27</v>
      </c>
      <c r="B19" s="13" t="s">
        <v>80</v>
      </c>
      <c r="C19" s="13" t="s">
        <v>81</v>
      </c>
      <c r="D19" s="13" t="s">
        <v>82</v>
      </c>
      <c r="E19" s="13" t="s">
        <v>83</v>
      </c>
      <c r="F19" s="13" t="s">
        <v>84</v>
      </c>
      <c r="H19" s="32"/>
    </row>
    <row r="21">
      <c r="A21" s="1" t="s">
        <v>36</v>
      </c>
    </row>
    <row r="22">
      <c r="A22" s="1" t="s">
        <v>37</v>
      </c>
      <c r="B22" s="1" t="s">
        <v>38</v>
      </c>
      <c r="C22" s="1" t="s">
        <v>39</v>
      </c>
      <c r="D22" s="1" t="s">
        <v>40</v>
      </c>
    </row>
    <row r="23" ht="36.0" customHeight="1">
      <c r="A23" s="33" t="s">
        <v>85</v>
      </c>
      <c r="B23" s="33" t="s">
        <v>86</v>
      </c>
      <c r="C23" s="33" t="s">
        <v>87</v>
      </c>
      <c r="D23" s="21" t="s">
        <v>88</v>
      </c>
    </row>
  </sheetData>
  <mergeCells count="2">
    <mergeCell ref="B3:G3"/>
    <mergeCell ref="A17:C17"/>
  </mergeCells>
  <drawing r:id="rId4"/>
  <legacyDrawing r:id="rId5"/>
  <tableParts count="1">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10" max="10" width="24.5"/>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52.0</v>
      </c>
      <c r="C6" s="8">
        <v>99.0</v>
      </c>
      <c r="D6" s="9">
        <f t="shared" ref="D6:D12" si="1">AVERAGE(B6:C6)</f>
        <v>75.5</v>
      </c>
      <c r="E6" s="8">
        <f t="shared" ref="E6:E12" si="2">ROUND(F6*H6,0)</f>
        <v>52</v>
      </c>
      <c r="F6" s="8">
        <f>ROUND(F7 * 0.9,0)</f>
        <v>104</v>
      </c>
      <c r="G6" s="8">
        <f t="shared" ref="G6:G12" si="3">AVERAGE(E6:F6)</f>
        <v>78</v>
      </c>
      <c r="H6" s="8">
        <v>0.5</v>
      </c>
    </row>
    <row r="7" ht="22.5" customHeight="1">
      <c r="A7" s="8">
        <v>0.0</v>
      </c>
      <c r="B7" s="8">
        <v>55.0</v>
      </c>
      <c r="C7" s="8">
        <v>105.0</v>
      </c>
      <c r="D7" s="9">
        <f t="shared" si="1"/>
        <v>80</v>
      </c>
      <c r="E7" s="8">
        <f t="shared" si="2"/>
        <v>58</v>
      </c>
      <c r="F7" s="8">
        <v>116.0</v>
      </c>
      <c r="G7" s="8">
        <f t="shared" si="3"/>
        <v>87</v>
      </c>
      <c r="H7" s="8">
        <v>0.5</v>
      </c>
    </row>
    <row r="8" ht="22.5" customHeight="1">
      <c r="A8" s="8">
        <v>1.0</v>
      </c>
      <c r="B8" s="8">
        <v>61.0</v>
      </c>
      <c r="C8" s="8">
        <v>117.0</v>
      </c>
      <c r="D8" s="9">
        <f t="shared" si="1"/>
        <v>89</v>
      </c>
      <c r="E8" s="8">
        <f t="shared" si="2"/>
        <v>64</v>
      </c>
      <c r="F8" s="8">
        <f t="shared" ref="F8:F12" si="4">ROUND(F7*1.1,0)</f>
        <v>128</v>
      </c>
      <c r="G8" s="8">
        <f t="shared" si="3"/>
        <v>96</v>
      </c>
      <c r="H8" s="8">
        <v>0.5</v>
      </c>
    </row>
    <row r="9" ht="22.5" customHeight="1">
      <c r="A9" s="8">
        <v>2.0</v>
      </c>
      <c r="B9" s="8">
        <v>68.0</v>
      </c>
      <c r="C9" s="8">
        <v>130.0</v>
      </c>
      <c r="D9" s="9">
        <f t="shared" si="1"/>
        <v>99</v>
      </c>
      <c r="E9" s="8">
        <f t="shared" si="2"/>
        <v>71</v>
      </c>
      <c r="F9" s="8">
        <f t="shared" si="4"/>
        <v>141</v>
      </c>
      <c r="G9" s="8">
        <f t="shared" si="3"/>
        <v>106</v>
      </c>
      <c r="H9" s="8">
        <v>0.5</v>
      </c>
    </row>
    <row r="10" ht="22.5" customHeight="1">
      <c r="A10" s="8">
        <v>3.0</v>
      </c>
      <c r="B10" s="8">
        <v>75.0</v>
      </c>
      <c r="C10" s="8">
        <v>144.0</v>
      </c>
      <c r="D10" s="9">
        <f t="shared" si="1"/>
        <v>109.5</v>
      </c>
      <c r="E10" s="8">
        <f t="shared" si="2"/>
        <v>78</v>
      </c>
      <c r="F10" s="8">
        <f t="shared" si="4"/>
        <v>155</v>
      </c>
      <c r="G10" s="8">
        <f t="shared" si="3"/>
        <v>116.5</v>
      </c>
      <c r="H10" s="8">
        <v>0.5</v>
      </c>
    </row>
    <row r="11" ht="22.5" customHeight="1">
      <c r="A11" s="8">
        <v>4.0</v>
      </c>
      <c r="B11" s="8">
        <v>83.0</v>
      </c>
      <c r="C11" s="8">
        <v>160.0</v>
      </c>
      <c r="D11" s="9">
        <f t="shared" si="1"/>
        <v>121.5</v>
      </c>
      <c r="E11" s="8">
        <f t="shared" si="2"/>
        <v>86</v>
      </c>
      <c r="F11" s="8">
        <f t="shared" si="4"/>
        <v>171</v>
      </c>
      <c r="G11" s="8">
        <f t="shared" si="3"/>
        <v>128.5</v>
      </c>
      <c r="H11" s="8">
        <v>0.5</v>
      </c>
    </row>
    <row r="12" ht="22.5" customHeight="1">
      <c r="A12" s="8">
        <v>5.0</v>
      </c>
      <c r="B12" s="8">
        <v>92.0</v>
      </c>
      <c r="C12" s="8">
        <v>178.0</v>
      </c>
      <c r="D12" s="9">
        <f t="shared" si="1"/>
        <v>135</v>
      </c>
      <c r="E12" s="8">
        <f t="shared" si="2"/>
        <v>94</v>
      </c>
      <c r="F12" s="8">
        <f t="shared" si="4"/>
        <v>188</v>
      </c>
      <c r="G12" s="8">
        <f t="shared" si="3"/>
        <v>141</v>
      </c>
      <c r="H12" s="8">
        <v>0.5</v>
      </c>
    </row>
    <row r="14">
      <c r="A14" s="3" t="s">
        <v>10</v>
      </c>
      <c r="B14" s="4"/>
      <c r="C14" s="5"/>
      <c r="D14" s="6"/>
      <c r="E14" s="6"/>
    </row>
    <row r="15" ht="21.75" customHeight="1">
      <c r="A15" s="2" t="s">
        <v>11</v>
      </c>
      <c r="B15" s="2" t="s">
        <v>12</v>
      </c>
      <c r="C15" s="2" t="s">
        <v>13</v>
      </c>
      <c r="D15" s="2" t="s">
        <v>54</v>
      </c>
      <c r="E15" s="2" t="s">
        <v>89</v>
      </c>
    </row>
    <row r="16">
      <c r="A16" s="34" t="s">
        <v>27</v>
      </c>
      <c r="B16" s="13" t="s">
        <v>90</v>
      </c>
      <c r="C16" s="13" t="s">
        <v>27</v>
      </c>
      <c r="D16" s="13" t="s">
        <v>27</v>
      </c>
      <c r="E16" s="12" t="s">
        <v>91</v>
      </c>
    </row>
    <row r="19">
      <c r="A19" s="1" t="s">
        <v>36</v>
      </c>
    </row>
    <row r="20">
      <c r="A20" s="1" t="s">
        <v>37</v>
      </c>
      <c r="B20" s="1" t="s">
        <v>38</v>
      </c>
      <c r="C20" s="1" t="s">
        <v>39</v>
      </c>
      <c r="D20" s="1" t="s">
        <v>40</v>
      </c>
    </row>
    <row r="21">
      <c r="A21" s="33" t="s">
        <v>92</v>
      </c>
      <c r="B21" s="33" t="s">
        <v>93</v>
      </c>
      <c r="C21" s="33" t="s">
        <v>94</v>
      </c>
      <c r="D21" s="21" t="s">
        <v>95</v>
      </c>
    </row>
    <row r="22">
      <c r="C22" s="33"/>
    </row>
  </sheetData>
  <mergeCells count="2">
    <mergeCell ref="B3:G3"/>
    <mergeCell ref="A14:C14"/>
  </mergeCell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9" max="9" width="21.13"/>
    <col customWidth="1" min="10" max="10" width="24.5"/>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47.0</v>
      </c>
      <c r="C6" s="8">
        <v>55.0</v>
      </c>
      <c r="D6" s="9">
        <f t="shared" ref="D6:D12" si="1">AVERAGE(B6:C6)</f>
        <v>51</v>
      </c>
      <c r="E6" s="8">
        <f t="shared" ref="E6:E12" si="2">ROUND(F6*H6,0)</f>
        <v>47</v>
      </c>
      <c r="F6" s="8">
        <f>ROUND(F7 * 0.9,0)</f>
        <v>59</v>
      </c>
      <c r="G6" s="8">
        <f t="shared" ref="G6:G12" si="3">AVERAGE(E6:F6)</f>
        <v>53</v>
      </c>
      <c r="H6" s="8">
        <v>0.8</v>
      </c>
    </row>
    <row r="7" ht="22.5" customHeight="1">
      <c r="A7" s="8">
        <v>0.0</v>
      </c>
      <c r="B7" s="8">
        <v>49.0</v>
      </c>
      <c r="C7" s="8">
        <v>58.0</v>
      </c>
      <c r="D7" s="9">
        <f t="shared" si="1"/>
        <v>53.5</v>
      </c>
      <c r="E7" s="8">
        <f t="shared" si="2"/>
        <v>52</v>
      </c>
      <c r="F7" s="8">
        <v>65.0</v>
      </c>
      <c r="G7" s="8">
        <f t="shared" si="3"/>
        <v>58.5</v>
      </c>
      <c r="H7" s="8">
        <v>0.8</v>
      </c>
    </row>
    <row r="8" ht="22.5" customHeight="1">
      <c r="A8" s="8">
        <v>1.0</v>
      </c>
      <c r="B8" s="8">
        <v>54.0</v>
      </c>
      <c r="C8" s="8">
        <v>64.0</v>
      </c>
      <c r="D8" s="9">
        <f t="shared" si="1"/>
        <v>59</v>
      </c>
      <c r="E8" s="8">
        <f t="shared" si="2"/>
        <v>58</v>
      </c>
      <c r="F8" s="8">
        <f t="shared" ref="F8:F12" si="4">ROUND(F7*1.1,0)</f>
        <v>72</v>
      </c>
      <c r="G8" s="8">
        <f t="shared" si="3"/>
        <v>65</v>
      </c>
      <c r="H8" s="8">
        <v>0.8</v>
      </c>
    </row>
    <row r="9" ht="22.5" customHeight="1">
      <c r="A9" s="8">
        <v>2.0</v>
      </c>
      <c r="B9" s="8">
        <v>59.0</v>
      </c>
      <c r="C9" s="8">
        <v>70.0</v>
      </c>
      <c r="D9" s="9">
        <f t="shared" si="1"/>
        <v>64.5</v>
      </c>
      <c r="E9" s="8">
        <f t="shared" si="2"/>
        <v>63</v>
      </c>
      <c r="F9" s="8">
        <f t="shared" si="4"/>
        <v>79</v>
      </c>
      <c r="G9" s="8">
        <f t="shared" si="3"/>
        <v>71</v>
      </c>
      <c r="H9" s="8">
        <v>0.8</v>
      </c>
    </row>
    <row r="10" ht="22.5" customHeight="1">
      <c r="A10" s="8">
        <v>3.0</v>
      </c>
      <c r="B10" s="8">
        <v>65.0</v>
      </c>
      <c r="C10" s="8">
        <v>77.0</v>
      </c>
      <c r="D10" s="9">
        <f t="shared" si="1"/>
        <v>71</v>
      </c>
      <c r="E10" s="8">
        <f t="shared" si="2"/>
        <v>70</v>
      </c>
      <c r="F10" s="8">
        <f t="shared" si="4"/>
        <v>87</v>
      </c>
      <c r="G10" s="8">
        <f t="shared" si="3"/>
        <v>78.5</v>
      </c>
      <c r="H10" s="8">
        <v>0.8</v>
      </c>
    </row>
    <row r="11" ht="22.5" customHeight="1">
      <c r="A11" s="8">
        <v>4.0</v>
      </c>
      <c r="B11" s="8">
        <v>72.0</v>
      </c>
      <c r="C11" s="8">
        <v>85.0</v>
      </c>
      <c r="D11" s="9">
        <f t="shared" si="1"/>
        <v>78.5</v>
      </c>
      <c r="E11" s="8">
        <f t="shared" si="2"/>
        <v>77</v>
      </c>
      <c r="F11" s="8">
        <f t="shared" si="4"/>
        <v>96</v>
      </c>
      <c r="G11" s="8">
        <f t="shared" si="3"/>
        <v>86.5</v>
      </c>
      <c r="H11" s="8">
        <v>0.8</v>
      </c>
    </row>
    <row r="12" ht="22.5" customHeight="1">
      <c r="A12" s="8">
        <v>5.0</v>
      </c>
      <c r="B12" s="8">
        <v>79.0</v>
      </c>
      <c r="C12" s="8">
        <v>94.0</v>
      </c>
      <c r="D12" s="9">
        <f t="shared" si="1"/>
        <v>86.5</v>
      </c>
      <c r="E12" s="8">
        <f t="shared" si="2"/>
        <v>85</v>
      </c>
      <c r="F12" s="8">
        <f t="shared" si="4"/>
        <v>106</v>
      </c>
      <c r="G12" s="8">
        <f t="shared" si="3"/>
        <v>95.5</v>
      </c>
      <c r="H12" s="8">
        <v>0.8</v>
      </c>
    </row>
    <row r="14" ht="11.25" customHeight="1">
      <c r="K14" s="1"/>
    </row>
    <row r="15">
      <c r="A15" s="3" t="s">
        <v>10</v>
      </c>
      <c r="B15" s="4"/>
      <c r="C15" s="4"/>
      <c r="L15" s="1"/>
    </row>
    <row r="16" ht="39.0" customHeight="1">
      <c r="A16" s="2" t="s">
        <v>11</v>
      </c>
      <c r="B16" s="2" t="s">
        <v>12</v>
      </c>
      <c r="C16" s="3" t="s">
        <v>13</v>
      </c>
      <c r="L16" s="1"/>
      <c r="M16" s="1"/>
      <c r="N16" s="1"/>
    </row>
    <row r="17" ht="138.0" customHeight="1">
      <c r="A17" s="13" t="s">
        <v>96</v>
      </c>
      <c r="B17" s="13" t="s">
        <v>97</v>
      </c>
      <c r="C17" s="23" t="s">
        <v>98</v>
      </c>
      <c r="L17" s="21"/>
      <c r="M17" s="21"/>
      <c r="N17" s="21"/>
    </row>
    <row r="19">
      <c r="A19" s="1" t="s">
        <v>37</v>
      </c>
      <c r="B19" s="1" t="s">
        <v>38</v>
      </c>
      <c r="C19" s="1" t="s">
        <v>39</v>
      </c>
      <c r="D19" s="1" t="s">
        <v>40</v>
      </c>
    </row>
    <row r="20">
      <c r="A20" s="33" t="s">
        <v>99</v>
      </c>
      <c r="B20" s="33" t="s">
        <v>100</v>
      </c>
      <c r="C20" s="33" t="s">
        <v>101</v>
      </c>
      <c r="D20" s="21" t="s">
        <v>102</v>
      </c>
    </row>
  </sheetData>
  <mergeCells count="3">
    <mergeCell ref="B3:G3"/>
    <mergeCell ref="A15:C15"/>
    <mergeCell ref="L15:N15"/>
  </mergeCells>
  <drawing r:id="rId4"/>
  <legacyDrawing r:id="rId5"/>
  <tableParts count="1">
    <tablePart r:id="rId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8" max="8" width="14.0"/>
    <col customWidth="1" min="9" max="9" width="2.75"/>
    <col customWidth="1" min="10" max="10" width="2.5"/>
    <col customWidth="1" min="11" max="11" width="2.63"/>
    <col customWidth="1" min="12" max="18" width="3.13"/>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95.0</v>
      </c>
      <c r="C6" s="8">
        <v>123.0</v>
      </c>
      <c r="D6" s="9">
        <f t="shared" ref="D6:D12" si="1">AVERAGE(B6:C6)</f>
        <v>109</v>
      </c>
      <c r="E6" s="8">
        <f t="shared" ref="E6:E12" si="2">ROUND(F6*H6,0)</f>
        <v>94</v>
      </c>
      <c r="F6" s="8">
        <f>ROUND(F7 * 0.9,0)</f>
        <v>117</v>
      </c>
      <c r="G6" s="8">
        <f t="shared" ref="G6:G12" si="3">AVERAGE(E6:F6)</f>
        <v>105.5</v>
      </c>
      <c r="H6" s="8">
        <v>0.8</v>
      </c>
    </row>
    <row r="7" ht="22.5" customHeight="1">
      <c r="A7" s="8">
        <v>0.0</v>
      </c>
      <c r="B7" s="8">
        <v>100.0</v>
      </c>
      <c r="C7" s="8">
        <v>130.0</v>
      </c>
      <c r="D7" s="9">
        <f t="shared" si="1"/>
        <v>115</v>
      </c>
      <c r="E7" s="8">
        <f t="shared" si="2"/>
        <v>104</v>
      </c>
      <c r="F7" s="8">
        <v>130.0</v>
      </c>
      <c r="G7" s="8">
        <f t="shared" si="3"/>
        <v>117</v>
      </c>
      <c r="H7" s="8">
        <v>0.8</v>
      </c>
    </row>
    <row r="8" ht="22.5" customHeight="1">
      <c r="A8" s="8">
        <v>1.0</v>
      </c>
      <c r="B8" s="8">
        <v>110.0</v>
      </c>
      <c r="C8" s="8">
        <v>143.0</v>
      </c>
      <c r="D8" s="9">
        <f t="shared" si="1"/>
        <v>126.5</v>
      </c>
      <c r="E8" s="8">
        <f t="shared" si="2"/>
        <v>114</v>
      </c>
      <c r="F8" s="8">
        <f t="shared" ref="F8:F12" si="4">ROUND(F7*1.1,0)</f>
        <v>143</v>
      </c>
      <c r="G8" s="8">
        <f t="shared" si="3"/>
        <v>128.5</v>
      </c>
      <c r="H8" s="8">
        <v>0.8</v>
      </c>
    </row>
    <row r="9" ht="22.5" customHeight="1">
      <c r="A9" s="8">
        <v>2.0</v>
      </c>
      <c r="B9" s="8">
        <v>121.0</v>
      </c>
      <c r="C9" s="8">
        <v>157.0</v>
      </c>
      <c r="D9" s="9">
        <f t="shared" si="1"/>
        <v>139</v>
      </c>
      <c r="E9" s="8">
        <f t="shared" si="2"/>
        <v>126</v>
      </c>
      <c r="F9" s="8">
        <f t="shared" si="4"/>
        <v>157</v>
      </c>
      <c r="G9" s="8">
        <f t="shared" si="3"/>
        <v>141.5</v>
      </c>
      <c r="H9" s="8">
        <v>0.8</v>
      </c>
    </row>
    <row r="10" ht="22.5" customHeight="1">
      <c r="A10" s="8">
        <v>3.0</v>
      </c>
      <c r="B10" s="8">
        <v>133.0</v>
      </c>
      <c r="C10" s="8">
        <v>173.0</v>
      </c>
      <c r="D10" s="9">
        <f t="shared" si="1"/>
        <v>153</v>
      </c>
      <c r="E10" s="8">
        <f t="shared" si="2"/>
        <v>138</v>
      </c>
      <c r="F10" s="8">
        <f t="shared" si="4"/>
        <v>173</v>
      </c>
      <c r="G10" s="8">
        <f t="shared" si="3"/>
        <v>155.5</v>
      </c>
      <c r="H10" s="8">
        <v>0.8</v>
      </c>
    </row>
    <row r="11" ht="22.5" customHeight="1">
      <c r="A11" s="8">
        <v>4.0</v>
      </c>
      <c r="B11" s="8">
        <v>146.0</v>
      </c>
      <c r="C11" s="8">
        <v>190.0</v>
      </c>
      <c r="D11" s="9">
        <f t="shared" si="1"/>
        <v>168</v>
      </c>
      <c r="E11" s="8">
        <f t="shared" si="2"/>
        <v>152</v>
      </c>
      <c r="F11" s="8">
        <f t="shared" si="4"/>
        <v>190</v>
      </c>
      <c r="G11" s="8">
        <f t="shared" si="3"/>
        <v>171</v>
      </c>
      <c r="H11" s="8">
        <v>0.8</v>
      </c>
    </row>
    <row r="12" ht="22.5" customHeight="1">
      <c r="A12" s="8">
        <v>5.0</v>
      </c>
      <c r="B12" s="8">
        <v>161.0</v>
      </c>
      <c r="C12" s="8">
        <v>209.0</v>
      </c>
      <c r="D12" s="9">
        <f t="shared" si="1"/>
        <v>185</v>
      </c>
      <c r="E12" s="8">
        <f t="shared" si="2"/>
        <v>167</v>
      </c>
      <c r="F12" s="8">
        <f t="shared" si="4"/>
        <v>209</v>
      </c>
      <c r="G12" s="8">
        <f t="shared" si="3"/>
        <v>188</v>
      </c>
      <c r="H12" s="8">
        <v>0.8</v>
      </c>
    </row>
    <row r="14">
      <c r="A14" s="3" t="s">
        <v>10</v>
      </c>
      <c r="B14" s="4"/>
      <c r="C14" s="4"/>
      <c r="D14" s="4"/>
    </row>
    <row r="15">
      <c r="A15" s="2" t="s">
        <v>11</v>
      </c>
      <c r="B15" s="2" t="s">
        <v>12</v>
      </c>
      <c r="C15" s="3" t="s">
        <v>13</v>
      </c>
      <c r="D15" s="10" t="s">
        <v>54</v>
      </c>
    </row>
    <row r="16" ht="154.5" customHeight="1">
      <c r="A16" s="13" t="s">
        <v>103</v>
      </c>
      <c r="B16" s="13" t="s">
        <v>104</v>
      </c>
      <c r="C16" s="23" t="s">
        <v>27</v>
      </c>
      <c r="D16" s="28" t="s">
        <v>27</v>
      </c>
      <c r="I16" s="1"/>
    </row>
    <row r="17">
      <c r="A17" s="1"/>
      <c r="L17" s="11"/>
    </row>
    <row r="18">
      <c r="K18" s="11"/>
      <c r="M18" s="11"/>
    </row>
    <row r="19">
      <c r="M19" s="11"/>
      <c r="N19" s="11"/>
    </row>
    <row r="20">
      <c r="A20" s="1" t="s">
        <v>37</v>
      </c>
      <c r="B20" s="1" t="s">
        <v>38</v>
      </c>
      <c r="C20" s="1" t="s">
        <v>39</v>
      </c>
      <c r="D20" s="1" t="s">
        <v>40</v>
      </c>
      <c r="K20" s="11"/>
      <c r="M20" s="11"/>
    </row>
    <row r="21">
      <c r="A21" s="33" t="s">
        <v>105</v>
      </c>
      <c r="B21" s="33" t="s">
        <v>106</v>
      </c>
      <c r="C21" s="33" t="s">
        <v>107</v>
      </c>
      <c r="D21" s="21" t="s">
        <v>108</v>
      </c>
      <c r="I21" s="27"/>
      <c r="J21" s="27"/>
      <c r="K21" s="27"/>
      <c r="L21" s="11"/>
      <c r="M21" s="27"/>
      <c r="N21" s="27"/>
      <c r="O21" s="27"/>
      <c r="P21" s="27"/>
      <c r="Q21" s="27"/>
      <c r="R21" s="27"/>
    </row>
    <row r="22">
      <c r="L22" s="11"/>
    </row>
    <row r="23">
      <c r="L23" s="11"/>
    </row>
  </sheetData>
  <mergeCells count="2">
    <mergeCell ref="B3:G3"/>
    <mergeCell ref="A14:D14"/>
  </mergeCells>
  <drawing r:id="rId4"/>
  <legacyDrawing r:id="rId5"/>
  <tableParts count="1">
    <tablePart r:id="rId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10" max="10" width="24.5"/>
    <col customWidth="1" min="11" max="18" width="2.75"/>
    <col customWidth="1" min="19" max="19" width="2.25"/>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67.0</v>
      </c>
      <c r="C6" s="8">
        <v>81.0</v>
      </c>
      <c r="D6" s="9">
        <f t="shared" ref="D6:D12" si="1">AVERAGE(B6:C6)</f>
        <v>74</v>
      </c>
      <c r="E6" s="8">
        <f t="shared" ref="E6:E12" si="2">ROUND(F6*H6,0)</f>
        <v>69</v>
      </c>
      <c r="F6" s="8">
        <f>ROUND(F7 * 0.9,0)</f>
        <v>86</v>
      </c>
      <c r="G6" s="8">
        <f t="shared" ref="G6:G12" si="3">AVERAGE(E6:F6)</f>
        <v>77.5</v>
      </c>
      <c r="H6" s="8">
        <v>0.8</v>
      </c>
    </row>
    <row r="7" ht="22.5" customHeight="1">
      <c r="A7" s="8">
        <v>0.0</v>
      </c>
      <c r="B7" s="8">
        <v>70.0</v>
      </c>
      <c r="C7" s="8">
        <v>85.0</v>
      </c>
      <c r="D7" s="9">
        <f t="shared" si="1"/>
        <v>77.5</v>
      </c>
      <c r="E7" s="8">
        <f t="shared" si="2"/>
        <v>76</v>
      </c>
      <c r="F7" s="8">
        <v>95.0</v>
      </c>
      <c r="G7" s="8">
        <f t="shared" si="3"/>
        <v>85.5</v>
      </c>
      <c r="H7" s="8">
        <v>0.8</v>
      </c>
    </row>
    <row r="8" ht="22.5" customHeight="1">
      <c r="A8" s="8">
        <v>1.0</v>
      </c>
      <c r="B8" s="8">
        <v>77.0</v>
      </c>
      <c r="C8" s="8">
        <v>94.0</v>
      </c>
      <c r="D8" s="9">
        <f t="shared" si="1"/>
        <v>85.5</v>
      </c>
      <c r="E8" s="8">
        <f t="shared" si="2"/>
        <v>84</v>
      </c>
      <c r="F8" s="8">
        <f t="shared" ref="F8:F12" si="4">ROUND(F7*1.1,0)</f>
        <v>105</v>
      </c>
      <c r="G8" s="8">
        <f t="shared" si="3"/>
        <v>94.5</v>
      </c>
      <c r="H8" s="8">
        <v>0.8</v>
      </c>
    </row>
    <row r="9" ht="22.5" customHeight="1">
      <c r="A9" s="8">
        <v>2.0</v>
      </c>
      <c r="B9" s="8">
        <v>85.0</v>
      </c>
      <c r="C9" s="8">
        <v>103.0</v>
      </c>
      <c r="D9" s="9">
        <f t="shared" si="1"/>
        <v>94</v>
      </c>
      <c r="E9" s="8">
        <f t="shared" si="2"/>
        <v>93</v>
      </c>
      <c r="F9" s="8">
        <f t="shared" si="4"/>
        <v>116</v>
      </c>
      <c r="G9" s="8">
        <f t="shared" si="3"/>
        <v>104.5</v>
      </c>
      <c r="H9" s="8">
        <v>0.8</v>
      </c>
    </row>
    <row r="10" ht="22.5" customHeight="1">
      <c r="A10" s="8">
        <v>3.0</v>
      </c>
      <c r="B10" s="8">
        <v>94.0</v>
      </c>
      <c r="C10" s="8">
        <v>113.0</v>
      </c>
      <c r="D10" s="9">
        <f t="shared" si="1"/>
        <v>103.5</v>
      </c>
      <c r="E10" s="8">
        <f t="shared" si="2"/>
        <v>102</v>
      </c>
      <c r="F10" s="8">
        <f t="shared" si="4"/>
        <v>128</v>
      </c>
      <c r="G10" s="8">
        <f t="shared" si="3"/>
        <v>115</v>
      </c>
      <c r="H10" s="8">
        <v>0.8</v>
      </c>
    </row>
    <row r="11" ht="22.5" customHeight="1">
      <c r="A11" s="8">
        <v>4.0</v>
      </c>
      <c r="B11" s="8">
        <v>103.0</v>
      </c>
      <c r="C11" s="8">
        <v>124.0</v>
      </c>
      <c r="D11" s="9">
        <f t="shared" si="1"/>
        <v>113.5</v>
      </c>
      <c r="E11" s="8">
        <f t="shared" si="2"/>
        <v>113</v>
      </c>
      <c r="F11" s="8">
        <f t="shared" si="4"/>
        <v>141</v>
      </c>
      <c r="G11" s="8">
        <f t="shared" si="3"/>
        <v>127</v>
      </c>
      <c r="H11" s="8">
        <v>0.8</v>
      </c>
    </row>
    <row r="12" ht="22.5" customHeight="1">
      <c r="A12" s="8">
        <v>5.0</v>
      </c>
      <c r="B12" s="8">
        <v>113.0</v>
      </c>
      <c r="C12" s="8">
        <v>146.0</v>
      </c>
      <c r="D12" s="9">
        <f t="shared" si="1"/>
        <v>129.5</v>
      </c>
      <c r="E12" s="8">
        <f t="shared" si="2"/>
        <v>124</v>
      </c>
      <c r="F12" s="8">
        <f t="shared" si="4"/>
        <v>155</v>
      </c>
      <c r="G12" s="8">
        <f t="shared" si="3"/>
        <v>139.5</v>
      </c>
      <c r="H12" s="8">
        <v>0.8</v>
      </c>
    </row>
    <row r="13">
      <c r="K13" s="10"/>
      <c r="L13" s="1"/>
    </row>
    <row r="14">
      <c r="A14" s="3" t="s">
        <v>10</v>
      </c>
      <c r="B14" s="4"/>
      <c r="C14" s="5"/>
      <c r="K14" s="1"/>
    </row>
    <row r="15" ht="51.75" customHeight="1">
      <c r="A15" s="2" t="s">
        <v>11</v>
      </c>
      <c r="B15" s="2" t="s">
        <v>12</v>
      </c>
      <c r="C15" s="2" t="s">
        <v>13</v>
      </c>
      <c r="D15" s="2" t="s">
        <v>109</v>
      </c>
    </row>
    <row r="16" ht="43.5" customHeight="1">
      <c r="A16" s="12" t="s">
        <v>110</v>
      </c>
      <c r="B16" s="12" t="s">
        <v>111</v>
      </c>
      <c r="C16" s="12" t="s">
        <v>112</v>
      </c>
      <c r="D16" s="12" t="s">
        <v>113</v>
      </c>
    </row>
    <row r="18">
      <c r="M18" s="11"/>
    </row>
    <row r="19">
      <c r="A19" s="1" t="s">
        <v>37</v>
      </c>
      <c r="B19" s="1" t="s">
        <v>38</v>
      </c>
      <c r="C19" s="1" t="s">
        <v>39</v>
      </c>
      <c r="D19" s="1" t="s">
        <v>40</v>
      </c>
      <c r="M19" s="11"/>
    </row>
    <row r="20">
      <c r="A20" s="33" t="s">
        <v>114</v>
      </c>
      <c r="B20" s="33" t="s">
        <v>115</v>
      </c>
      <c r="C20" s="33" t="s">
        <v>116</v>
      </c>
      <c r="D20" s="21" t="s">
        <v>117</v>
      </c>
      <c r="M20" s="11"/>
    </row>
    <row r="21">
      <c r="M21" s="11"/>
    </row>
    <row r="22">
      <c r="M22" s="11"/>
    </row>
    <row r="23">
      <c r="M23" s="11"/>
    </row>
    <row r="24">
      <c r="M24" s="11"/>
    </row>
    <row r="25">
      <c r="M25" s="35"/>
    </row>
  </sheetData>
  <mergeCells count="3">
    <mergeCell ref="B3:G3"/>
    <mergeCell ref="A14:C14"/>
    <mergeCell ref="K16:O16"/>
  </mergeCells>
  <drawing r:id="rId4"/>
  <legacyDrawing r:id="rId5"/>
  <tableParts count="1">
    <tablePart r:id="rId7"/>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8" max="8" width="14.0"/>
    <col customWidth="1" min="9" max="9" width="15.5"/>
    <col customWidth="1" min="10" max="10" width="28.88"/>
    <col customWidth="1" min="12" max="12" width="2.75"/>
    <col customWidth="1" min="13" max="13" width="2.5"/>
    <col customWidth="1" min="14" max="14" width="2.63"/>
    <col customWidth="1" min="15" max="16" width="3.13"/>
    <col customWidth="1" min="17" max="17" width="2.88"/>
    <col customWidth="1" min="18" max="18" width="2.0"/>
    <col customWidth="1" min="19" max="19" width="3.0"/>
    <col customWidth="1" min="20" max="25" width="2.75"/>
    <col customWidth="1" min="26" max="26" width="2.63"/>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82.0</v>
      </c>
      <c r="C6" s="8">
        <v>111.0</v>
      </c>
      <c r="D6" s="9">
        <f t="shared" ref="D6:D12" si="1">AVERAGE(B6:C6)</f>
        <v>96.5</v>
      </c>
      <c r="E6" s="8">
        <f t="shared" ref="E6:E12" si="2">ROUND(F6*H6,0)</f>
        <v>63</v>
      </c>
      <c r="F6" s="8">
        <f>ROUND(F7 * 0.9,0)</f>
        <v>126</v>
      </c>
      <c r="G6" s="8">
        <f t="shared" ref="G6:G12" si="3">AVERAGE(E6:F6)</f>
        <v>94.5</v>
      </c>
      <c r="H6" s="8">
        <v>0.5</v>
      </c>
    </row>
    <row r="7" ht="22.5" customHeight="1">
      <c r="A7" s="8">
        <v>0.0</v>
      </c>
      <c r="B7" s="8">
        <v>84.0</v>
      </c>
      <c r="C7" s="8">
        <v>118.0</v>
      </c>
      <c r="D7" s="9">
        <f t="shared" si="1"/>
        <v>101</v>
      </c>
      <c r="E7" s="8">
        <f t="shared" si="2"/>
        <v>70</v>
      </c>
      <c r="F7" s="8">
        <v>140.0</v>
      </c>
      <c r="G7" s="8">
        <f t="shared" si="3"/>
        <v>105</v>
      </c>
      <c r="H7" s="8">
        <v>0.5</v>
      </c>
    </row>
    <row r="8" ht="22.5" customHeight="1">
      <c r="A8" s="8">
        <v>1.0</v>
      </c>
      <c r="B8" s="8">
        <v>88.0</v>
      </c>
      <c r="C8" s="8">
        <v>132.0</v>
      </c>
      <c r="D8" s="9">
        <f t="shared" si="1"/>
        <v>110</v>
      </c>
      <c r="E8" s="8">
        <f t="shared" si="2"/>
        <v>77</v>
      </c>
      <c r="F8" s="8">
        <f t="shared" ref="F8:F12" si="4">ROUND(F7*1.1,0)</f>
        <v>154</v>
      </c>
      <c r="G8" s="8">
        <f t="shared" si="3"/>
        <v>115.5</v>
      </c>
      <c r="H8" s="8">
        <v>0.5</v>
      </c>
    </row>
    <row r="9" ht="22.5" customHeight="1">
      <c r="A9" s="8">
        <v>2.0</v>
      </c>
      <c r="B9" s="8">
        <v>92.0</v>
      </c>
      <c r="C9" s="8">
        <v>148.0</v>
      </c>
      <c r="D9" s="9">
        <f t="shared" si="1"/>
        <v>120</v>
      </c>
      <c r="E9" s="8">
        <f t="shared" si="2"/>
        <v>85</v>
      </c>
      <c r="F9" s="8">
        <f t="shared" si="4"/>
        <v>169</v>
      </c>
      <c r="G9" s="8">
        <f t="shared" si="3"/>
        <v>127</v>
      </c>
      <c r="H9" s="8">
        <v>0.5</v>
      </c>
    </row>
    <row r="10" ht="15.75" customHeight="1">
      <c r="A10" s="8">
        <v>3.0</v>
      </c>
      <c r="B10" s="8">
        <v>97.0</v>
      </c>
      <c r="C10" s="8">
        <v>166.0</v>
      </c>
      <c r="D10" s="9">
        <f t="shared" si="1"/>
        <v>131.5</v>
      </c>
      <c r="E10" s="8">
        <f t="shared" si="2"/>
        <v>93</v>
      </c>
      <c r="F10" s="8">
        <f t="shared" si="4"/>
        <v>186</v>
      </c>
      <c r="G10" s="8">
        <f t="shared" si="3"/>
        <v>139.5</v>
      </c>
      <c r="H10" s="8">
        <v>0.5</v>
      </c>
    </row>
    <row r="11" ht="22.5" customHeight="1">
      <c r="A11" s="8">
        <v>4.0</v>
      </c>
      <c r="B11" s="8">
        <v>102.0</v>
      </c>
      <c r="C11" s="8">
        <v>186.0</v>
      </c>
      <c r="D11" s="9">
        <f t="shared" si="1"/>
        <v>144</v>
      </c>
      <c r="E11" s="8">
        <f t="shared" si="2"/>
        <v>103</v>
      </c>
      <c r="F11" s="8">
        <f t="shared" si="4"/>
        <v>205</v>
      </c>
      <c r="G11" s="8">
        <f t="shared" si="3"/>
        <v>154</v>
      </c>
      <c r="H11" s="8">
        <v>0.5</v>
      </c>
    </row>
    <row r="12" ht="22.5" customHeight="1">
      <c r="A12" s="8">
        <v>5.0</v>
      </c>
      <c r="B12" s="8">
        <v>107.0</v>
      </c>
      <c r="C12" s="8">
        <v>208.0</v>
      </c>
      <c r="D12" s="9">
        <f t="shared" si="1"/>
        <v>157.5</v>
      </c>
      <c r="E12" s="8">
        <f t="shared" si="2"/>
        <v>113</v>
      </c>
      <c r="F12" s="8">
        <f t="shared" si="4"/>
        <v>226</v>
      </c>
      <c r="G12" s="8">
        <f t="shared" si="3"/>
        <v>169.5</v>
      </c>
      <c r="H12" s="8">
        <v>0.5</v>
      </c>
    </row>
    <row r="14">
      <c r="A14" s="3" t="s">
        <v>10</v>
      </c>
      <c r="B14" s="4"/>
      <c r="C14" s="4"/>
      <c r="D14" s="4"/>
    </row>
    <row r="15">
      <c r="A15" s="2" t="s">
        <v>11</v>
      </c>
      <c r="B15" s="2" t="s">
        <v>12</v>
      </c>
      <c r="C15" s="3" t="s">
        <v>13</v>
      </c>
      <c r="D15" s="10" t="s">
        <v>54</v>
      </c>
      <c r="L15" s="27"/>
      <c r="M15" s="27"/>
      <c r="N15" s="27"/>
      <c r="O15" s="27"/>
      <c r="P15" s="27"/>
    </row>
    <row r="16">
      <c r="A16" s="13" t="s">
        <v>118</v>
      </c>
      <c r="B16" s="13" t="s">
        <v>119</v>
      </c>
      <c r="C16" s="23" t="s">
        <v>120</v>
      </c>
      <c r="D16" s="28" t="s">
        <v>121</v>
      </c>
    </row>
    <row r="19">
      <c r="A19" s="1" t="s">
        <v>37</v>
      </c>
      <c r="B19" s="1" t="s">
        <v>38</v>
      </c>
      <c r="C19" s="1" t="s">
        <v>39</v>
      </c>
      <c r="D19" s="1" t="s">
        <v>40</v>
      </c>
    </row>
    <row r="20">
      <c r="A20" s="33" t="s">
        <v>105</v>
      </c>
      <c r="B20" s="33" t="s">
        <v>122</v>
      </c>
      <c r="C20" s="33" t="s">
        <v>123</v>
      </c>
      <c r="D20" s="21" t="s">
        <v>124</v>
      </c>
    </row>
  </sheetData>
  <mergeCells count="4">
    <mergeCell ref="B3:G3"/>
    <mergeCell ref="L10:R10"/>
    <mergeCell ref="T10:Z10"/>
    <mergeCell ref="A14:D14"/>
  </mergeCells>
  <drawing r:id="rId4"/>
  <legacyDrawing r:id="rId5"/>
  <tableParts count="1">
    <tablePart r:id="rId7"/>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8" max="8" width="14.0"/>
    <col customWidth="1" min="9" max="9" width="15.5"/>
    <col customWidth="1" min="10" max="10" width="28.88"/>
    <col customWidth="1" min="12" max="12" width="2.75"/>
    <col customWidth="1" min="13" max="13" width="2.5"/>
    <col customWidth="1" min="14" max="14" width="2.63"/>
    <col customWidth="1" min="15" max="16" width="3.13"/>
    <col customWidth="1" min="17" max="17" width="2.88"/>
    <col customWidth="1" min="18" max="18" width="2.0"/>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c r="C6" s="8"/>
      <c r="D6" s="9"/>
      <c r="E6" s="8">
        <f t="shared" ref="E6:E12" si="1">ROUND(F6*H6,0)</f>
        <v>61</v>
      </c>
      <c r="F6" s="8">
        <f>ROUND(F7 * 0.9,0)</f>
        <v>122</v>
      </c>
      <c r="G6" s="8">
        <f t="shared" ref="G6:G12" si="2">AVERAGE(E6:F6)</f>
        <v>91.5</v>
      </c>
      <c r="H6" s="8">
        <v>0.5</v>
      </c>
    </row>
    <row r="7" ht="22.5" customHeight="1">
      <c r="A7" s="8">
        <v>0.0</v>
      </c>
      <c r="B7" s="8">
        <v>78.0</v>
      </c>
      <c r="C7" s="8">
        <v>120.0</v>
      </c>
      <c r="D7" s="9">
        <f>AVERAGE(B7:C7)</f>
        <v>99</v>
      </c>
      <c r="E7" s="8">
        <f t="shared" si="1"/>
        <v>68</v>
      </c>
      <c r="F7" s="8">
        <v>136.0</v>
      </c>
      <c r="G7" s="8">
        <f t="shared" si="2"/>
        <v>102</v>
      </c>
      <c r="H7" s="8">
        <v>0.5</v>
      </c>
    </row>
    <row r="8" ht="22.5" customHeight="1">
      <c r="A8" s="8">
        <v>1.0</v>
      </c>
      <c r="B8" s="9"/>
      <c r="C8" s="9"/>
      <c r="D8" s="9"/>
      <c r="E8" s="8">
        <f t="shared" si="1"/>
        <v>75</v>
      </c>
      <c r="F8" s="8">
        <f t="shared" ref="F8:F12" si="3">ROUND(F7*1.1,0)</f>
        <v>150</v>
      </c>
      <c r="G8" s="8">
        <f t="shared" si="2"/>
        <v>112.5</v>
      </c>
      <c r="H8" s="8">
        <v>0.5</v>
      </c>
    </row>
    <row r="9" ht="22.5" customHeight="1">
      <c r="A9" s="8">
        <v>2.0</v>
      </c>
      <c r="B9" s="9"/>
      <c r="C9" s="9"/>
      <c r="D9" s="9"/>
      <c r="E9" s="8">
        <f t="shared" si="1"/>
        <v>83</v>
      </c>
      <c r="F9" s="8">
        <f t="shared" si="3"/>
        <v>165</v>
      </c>
      <c r="G9" s="8">
        <f t="shared" si="2"/>
        <v>124</v>
      </c>
      <c r="H9" s="8">
        <v>0.5</v>
      </c>
    </row>
    <row r="10" ht="22.5" customHeight="1">
      <c r="A10" s="8">
        <v>3.0</v>
      </c>
      <c r="B10" s="9"/>
      <c r="C10" s="9"/>
      <c r="D10" s="9"/>
      <c r="E10" s="8">
        <f t="shared" si="1"/>
        <v>91</v>
      </c>
      <c r="F10" s="8">
        <f t="shared" si="3"/>
        <v>182</v>
      </c>
      <c r="G10" s="8">
        <f t="shared" si="2"/>
        <v>136.5</v>
      </c>
      <c r="H10" s="8">
        <v>0.5</v>
      </c>
    </row>
    <row r="11" ht="22.5" customHeight="1">
      <c r="A11" s="8">
        <v>4.0</v>
      </c>
      <c r="B11" s="9"/>
      <c r="C11" s="9"/>
      <c r="D11" s="9"/>
      <c r="E11" s="8">
        <f t="shared" si="1"/>
        <v>100</v>
      </c>
      <c r="F11" s="8">
        <f t="shared" si="3"/>
        <v>200</v>
      </c>
      <c r="G11" s="8">
        <f t="shared" si="2"/>
        <v>150</v>
      </c>
      <c r="H11" s="8">
        <v>0.5</v>
      </c>
    </row>
    <row r="12" ht="16.5" customHeight="1">
      <c r="A12" s="8">
        <v>5.0</v>
      </c>
      <c r="B12" s="9"/>
      <c r="C12" s="9"/>
      <c r="D12" s="9"/>
      <c r="E12" s="8">
        <f t="shared" si="1"/>
        <v>110</v>
      </c>
      <c r="F12" s="8">
        <f t="shared" si="3"/>
        <v>220</v>
      </c>
      <c r="G12" s="8">
        <f t="shared" si="2"/>
        <v>165</v>
      </c>
      <c r="H12" s="8">
        <v>0.5</v>
      </c>
    </row>
    <row r="13" ht="16.5" customHeight="1"/>
    <row r="14">
      <c r="A14" s="3" t="s">
        <v>10</v>
      </c>
      <c r="B14" s="4"/>
      <c r="C14" s="4"/>
      <c r="D14" s="4"/>
    </row>
    <row r="15">
      <c r="A15" s="2" t="s">
        <v>11</v>
      </c>
      <c r="B15" s="2" t="s">
        <v>12</v>
      </c>
      <c r="C15" s="3" t="s">
        <v>13</v>
      </c>
      <c r="D15" s="36" t="s">
        <v>54</v>
      </c>
      <c r="E15" s="1" t="s">
        <v>89</v>
      </c>
    </row>
    <row r="16">
      <c r="A16" s="13" t="s">
        <v>125</v>
      </c>
      <c r="B16" s="13" t="s">
        <v>27</v>
      </c>
      <c r="C16" s="23" t="s">
        <v>27</v>
      </c>
      <c r="D16" s="24" t="s">
        <v>27</v>
      </c>
      <c r="E16" s="1" t="s">
        <v>126</v>
      </c>
    </row>
    <row r="19">
      <c r="A19" s="1" t="s">
        <v>37</v>
      </c>
      <c r="B19" s="1" t="s">
        <v>38</v>
      </c>
      <c r="C19" s="1" t="s">
        <v>39</v>
      </c>
      <c r="D19" s="1" t="s">
        <v>40</v>
      </c>
      <c r="L19" s="11"/>
      <c r="M19" s="11"/>
    </row>
    <row r="20">
      <c r="A20" s="33" t="s">
        <v>127</v>
      </c>
      <c r="B20" s="33" t="s">
        <v>128</v>
      </c>
      <c r="C20" s="33" t="s">
        <v>129</v>
      </c>
      <c r="D20" s="21" t="s">
        <v>130</v>
      </c>
    </row>
  </sheetData>
  <mergeCells count="3">
    <mergeCell ref="B3:G3"/>
    <mergeCell ref="L13:R13"/>
    <mergeCell ref="A14:D14"/>
  </mergeCell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8" max="8" width="14.0"/>
    <col customWidth="1" min="9" max="9" width="15.5"/>
    <col customWidth="1" min="10" max="10" width="28.88"/>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109.0</v>
      </c>
      <c r="C6" s="8">
        <v>218.0</v>
      </c>
      <c r="D6" s="9">
        <f t="shared" ref="D6:D12" si="1">AVERAGE(B6:C6)</f>
        <v>163.5</v>
      </c>
      <c r="E6" s="8">
        <f t="shared" ref="E6:E12" si="2">ROUND(F6*H6,0)</f>
        <v>112</v>
      </c>
      <c r="F6" s="8">
        <f>ROUND(F7 * 0.9,0)</f>
        <v>173</v>
      </c>
      <c r="G6" s="8">
        <f t="shared" ref="G6:G12" si="3">AVERAGE(E6:F6)</f>
        <v>142.5</v>
      </c>
      <c r="H6" s="8">
        <v>0.65</v>
      </c>
    </row>
    <row r="7" ht="22.5" customHeight="1">
      <c r="A7" s="8">
        <v>0.0</v>
      </c>
      <c r="B7" s="8">
        <v>145.0</v>
      </c>
      <c r="C7" s="8">
        <v>185.0</v>
      </c>
      <c r="D7" s="9">
        <f t="shared" si="1"/>
        <v>165</v>
      </c>
      <c r="E7" s="8">
        <f t="shared" si="2"/>
        <v>125</v>
      </c>
      <c r="F7" s="8">
        <v>192.0</v>
      </c>
      <c r="G7" s="8">
        <f t="shared" si="3"/>
        <v>158.5</v>
      </c>
      <c r="H7" s="8">
        <v>0.65</v>
      </c>
    </row>
    <row r="8" ht="22.5" customHeight="1">
      <c r="A8" s="8">
        <v>1.0</v>
      </c>
      <c r="B8" s="8">
        <v>160.0</v>
      </c>
      <c r="C8" s="8">
        <v>204.0</v>
      </c>
      <c r="D8" s="9">
        <f t="shared" si="1"/>
        <v>182</v>
      </c>
      <c r="E8" s="8">
        <f t="shared" si="2"/>
        <v>137</v>
      </c>
      <c r="F8" s="8">
        <f t="shared" ref="F8:F12" si="4">ROUND(F7*1.1,0)</f>
        <v>211</v>
      </c>
      <c r="G8" s="8">
        <f t="shared" si="3"/>
        <v>174</v>
      </c>
      <c r="H8" s="8">
        <v>0.65</v>
      </c>
    </row>
    <row r="9" ht="22.5" customHeight="1">
      <c r="A9" s="8">
        <v>2.0</v>
      </c>
      <c r="B9" s="8">
        <v>176.0</v>
      </c>
      <c r="C9" s="8">
        <v>224.0</v>
      </c>
      <c r="D9" s="9">
        <f t="shared" si="1"/>
        <v>200</v>
      </c>
      <c r="E9" s="8">
        <f t="shared" si="2"/>
        <v>151</v>
      </c>
      <c r="F9" s="8">
        <f t="shared" si="4"/>
        <v>232</v>
      </c>
      <c r="G9" s="8">
        <f t="shared" si="3"/>
        <v>191.5</v>
      </c>
      <c r="H9" s="8">
        <v>0.65</v>
      </c>
    </row>
    <row r="10" ht="22.5" customHeight="1">
      <c r="A10" s="8">
        <v>3.0</v>
      </c>
      <c r="B10" s="8">
        <v>194.0</v>
      </c>
      <c r="C10" s="8">
        <v>246.0</v>
      </c>
      <c r="D10" s="9">
        <f t="shared" si="1"/>
        <v>220</v>
      </c>
      <c r="E10" s="8">
        <f t="shared" si="2"/>
        <v>166</v>
      </c>
      <c r="F10" s="8">
        <f t="shared" si="4"/>
        <v>255</v>
      </c>
      <c r="G10" s="8">
        <f t="shared" si="3"/>
        <v>210.5</v>
      </c>
      <c r="H10" s="8">
        <v>0.65</v>
      </c>
    </row>
    <row r="11" ht="22.5" customHeight="1">
      <c r="A11" s="8">
        <v>4.0</v>
      </c>
      <c r="B11" s="8">
        <v>213.0</v>
      </c>
      <c r="C11" s="8">
        <v>271.0</v>
      </c>
      <c r="D11" s="9">
        <f t="shared" si="1"/>
        <v>242</v>
      </c>
      <c r="E11" s="8">
        <f t="shared" si="2"/>
        <v>183</v>
      </c>
      <c r="F11" s="8">
        <f t="shared" si="4"/>
        <v>281</v>
      </c>
      <c r="G11" s="8">
        <f t="shared" si="3"/>
        <v>232</v>
      </c>
      <c r="H11" s="8">
        <v>0.65</v>
      </c>
    </row>
    <row r="12" ht="22.5" customHeight="1">
      <c r="A12" s="8">
        <v>5.0</v>
      </c>
      <c r="B12" s="8">
        <v>234.0</v>
      </c>
      <c r="C12" s="8">
        <v>298.0</v>
      </c>
      <c r="D12" s="9">
        <f t="shared" si="1"/>
        <v>266</v>
      </c>
      <c r="E12" s="8">
        <f t="shared" si="2"/>
        <v>201</v>
      </c>
      <c r="F12" s="8">
        <f t="shared" si="4"/>
        <v>309</v>
      </c>
      <c r="G12" s="8">
        <f t="shared" si="3"/>
        <v>255</v>
      </c>
      <c r="H12" s="8">
        <v>0.65</v>
      </c>
    </row>
    <row r="13" ht="16.5" customHeight="1"/>
    <row r="14">
      <c r="A14" s="3" t="s">
        <v>10</v>
      </c>
      <c r="B14" s="4"/>
      <c r="C14" s="4"/>
      <c r="D14" s="4"/>
    </row>
    <row r="15">
      <c r="A15" s="2" t="s">
        <v>11</v>
      </c>
      <c r="B15" s="2" t="s">
        <v>12</v>
      </c>
      <c r="C15" s="3" t="s">
        <v>13</v>
      </c>
      <c r="D15" s="36" t="s">
        <v>54</v>
      </c>
      <c r="E15" s="1" t="s">
        <v>89</v>
      </c>
    </row>
    <row r="16" ht="135.75" customHeight="1">
      <c r="A16" s="13" t="s">
        <v>131</v>
      </c>
      <c r="B16" s="13" t="s">
        <v>132</v>
      </c>
      <c r="C16" s="23" t="s">
        <v>27</v>
      </c>
      <c r="D16" s="13" t="s">
        <v>133</v>
      </c>
      <c r="E16" s="1" t="s">
        <v>134</v>
      </c>
    </row>
    <row r="17">
      <c r="A17" s="1"/>
      <c r="I17" s="1"/>
    </row>
    <row r="19">
      <c r="A19" s="1" t="s">
        <v>37</v>
      </c>
      <c r="B19" s="1" t="s">
        <v>38</v>
      </c>
      <c r="C19" s="1" t="s">
        <v>39</v>
      </c>
      <c r="D19" s="1" t="s">
        <v>40</v>
      </c>
    </row>
    <row r="20">
      <c r="A20" s="33" t="s">
        <v>135</v>
      </c>
      <c r="B20" s="33" t="s">
        <v>136</v>
      </c>
      <c r="C20" s="33" t="s">
        <v>137</v>
      </c>
      <c r="D20" s="21" t="s">
        <v>138</v>
      </c>
    </row>
  </sheetData>
  <mergeCells count="2">
    <mergeCell ref="B3:G3"/>
    <mergeCell ref="A14:D14"/>
  </mergeCells>
  <drawing r:id="rId4"/>
  <legacyDrawing r:id="rId5"/>
  <tableParts count="1">
    <tablePart r:id="rId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8" max="8" width="14.0"/>
    <col customWidth="1" min="9" max="9" width="15.5"/>
    <col customWidth="1" min="10" max="10" width="28.88"/>
    <col customWidth="1" min="12" max="15" width="3.13"/>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67.0</v>
      </c>
      <c r="C6" s="8">
        <v>110.0</v>
      </c>
      <c r="D6" s="9">
        <f t="shared" ref="D6:D12" si="1">AVERAGE(B6:C6)</f>
        <v>88.5</v>
      </c>
      <c r="E6" s="8">
        <f t="shared" ref="E6:E12" si="2">ROUND(F6*H6,0)</f>
        <v>60</v>
      </c>
      <c r="F6" s="8">
        <f>ROUND(F7 * 0.9,0)</f>
        <v>119</v>
      </c>
      <c r="G6" s="8">
        <f t="shared" ref="G6:G12" si="3">AVERAGE(E6:F6)</f>
        <v>89.5</v>
      </c>
      <c r="H6" s="8">
        <v>0.5</v>
      </c>
    </row>
    <row r="7" ht="22.5" customHeight="1">
      <c r="A7" s="8">
        <v>0.0</v>
      </c>
      <c r="B7" s="8">
        <v>74.0</v>
      </c>
      <c r="C7" s="8">
        <v>117.0</v>
      </c>
      <c r="D7" s="9">
        <f t="shared" si="1"/>
        <v>95.5</v>
      </c>
      <c r="E7" s="8">
        <f t="shared" si="2"/>
        <v>66</v>
      </c>
      <c r="F7" s="8">
        <v>132.0</v>
      </c>
      <c r="G7" s="8">
        <f t="shared" si="3"/>
        <v>99</v>
      </c>
      <c r="H7" s="8">
        <v>0.5</v>
      </c>
    </row>
    <row r="8" ht="22.5" customHeight="1">
      <c r="A8" s="8">
        <v>1.0</v>
      </c>
      <c r="B8" s="8">
        <v>82.0</v>
      </c>
      <c r="C8" s="8">
        <v>130.0</v>
      </c>
      <c r="D8" s="9">
        <f t="shared" si="1"/>
        <v>106</v>
      </c>
      <c r="E8" s="8">
        <f t="shared" si="2"/>
        <v>73</v>
      </c>
      <c r="F8" s="8">
        <f t="shared" ref="F8:F12" si="4">ROUND(F7*1.1,0)</f>
        <v>145</v>
      </c>
      <c r="G8" s="8">
        <f t="shared" si="3"/>
        <v>109</v>
      </c>
      <c r="H8" s="8">
        <v>0.5</v>
      </c>
    </row>
    <row r="9" ht="22.5" customHeight="1">
      <c r="A9" s="8">
        <v>2.0</v>
      </c>
      <c r="B9" s="8">
        <v>91.0</v>
      </c>
      <c r="C9" s="8">
        <v>144.0</v>
      </c>
      <c r="D9" s="9">
        <f t="shared" si="1"/>
        <v>117.5</v>
      </c>
      <c r="E9" s="8">
        <f t="shared" si="2"/>
        <v>80</v>
      </c>
      <c r="F9" s="8">
        <f t="shared" si="4"/>
        <v>160</v>
      </c>
      <c r="G9" s="8">
        <f t="shared" si="3"/>
        <v>120</v>
      </c>
      <c r="H9" s="8">
        <v>0.5</v>
      </c>
    </row>
    <row r="10" ht="22.5" customHeight="1">
      <c r="A10" s="8">
        <v>3.0</v>
      </c>
      <c r="B10" s="8">
        <v>101.0</v>
      </c>
      <c r="C10" s="8">
        <v>160.0</v>
      </c>
      <c r="D10" s="9">
        <f t="shared" si="1"/>
        <v>130.5</v>
      </c>
      <c r="E10" s="8">
        <f t="shared" si="2"/>
        <v>88</v>
      </c>
      <c r="F10" s="8">
        <f t="shared" si="4"/>
        <v>176</v>
      </c>
      <c r="G10" s="8">
        <f t="shared" si="3"/>
        <v>132</v>
      </c>
      <c r="H10" s="8">
        <v>0.5</v>
      </c>
    </row>
    <row r="11" ht="22.5" customHeight="1">
      <c r="A11" s="8">
        <v>4.0</v>
      </c>
      <c r="B11" s="8">
        <v>112.0</v>
      </c>
      <c r="C11" s="8">
        <v>178.0</v>
      </c>
      <c r="D11" s="9">
        <f t="shared" si="1"/>
        <v>145</v>
      </c>
      <c r="E11" s="8">
        <f t="shared" si="2"/>
        <v>97</v>
      </c>
      <c r="F11" s="8">
        <f t="shared" si="4"/>
        <v>194</v>
      </c>
      <c r="G11" s="8">
        <f t="shared" si="3"/>
        <v>145.5</v>
      </c>
      <c r="H11" s="8">
        <v>0.5</v>
      </c>
    </row>
    <row r="12" ht="22.5" customHeight="1">
      <c r="A12" s="8">
        <v>5.0</v>
      </c>
      <c r="B12" s="8">
        <v>124.0</v>
      </c>
      <c r="C12" s="8">
        <v>198.0</v>
      </c>
      <c r="D12" s="9">
        <f t="shared" si="1"/>
        <v>161</v>
      </c>
      <c r="E12" s="8">
        <f t="shared" si="2"/>
        <v>107</v>
      </c>
      <c r="F12" s="8">
        <f t="shared" si="4"/>
        <v>213</v>
      </c>
      <c r="G12" s="8">
        <f t="shared" si="3"/>
        <v>160</v>
      </c>
      <c r="H12" s="8">
        <v>0.5</v>
      </c>
    </row>
    <row r="14">
      <c r="A14" s="3" t="s">
        <v>10</v>
      </c>
      <c r="B14" s="4"/>
      <c r="C14" s="4"/>
      <c r="D14" s="4"/>
    </row>
    <row r="15">
      <c r="A15" s="2" t="s">
        <v>11</v>
      </c>
      <c r="B15" s="2" t="s">
        <v>12</v>
      </c>
      <c r="C15" s="3" t="s">
        <v>13</v>
      </c>
      <c r="D15" s="10" t="s">
        <v>54</v>
      </c>
      <c r="E15" s="1" t="s">
        <v>89</v>
      </c>
    </row>
    <row r="16" ht="150.75" customHeight="1">
      <c r="A16" s="13" t="s">
        <v>27</v>
      </c>
      <c r="B16" s="13" t="s">
        <v>48</v>
      </c>
      <c r="C16" s="23" t="s">
        <v>139</v>
      </c>
      <c r="D16" s="28" t="s">
        <v>140</v>
      </c>
      <c r="E16" s="37" t="s">
        <v>141</v>
      </c>
    </row>
    <row r="17">
      <c r="A17" s="1"/>
    </row>
    <row r="18">
      <c r="A18" s="1" t="s">
        <v>37</v>
      </c>
      <c r="B18" s="1" t="s">
        <v>38</v>
      </c>
      <c r="C18" s="1" t="s">
        <v>39</v>
      </c>
      <c r="D18" s="1" t="s">
        <v>40</v>
      </c>
    </row>
    <row r="19">
      <c r="A19" s="33" t="s">
        <v>142</v>
      </c>
      <c r="B19" s="33" t="s">
        <v>143</v>
      </c>
      <c r="C19" s="33" t="s">
        <v>144</v>
      </c>
      <c r="D19" s="21" t="s">
        <v>145</v>
      </c>
    </row>
    <row r="21">
      <c r="L21" s="27"/>
      <c r="M21" s="27"/>
      <c r="N21" s="27"/>
      <c r="O21" s="27"/>
    </row>
  </sheetData>
  <mergeCells count="2">
    <mergeCell ref="B3:G3"/>
    <mergeCell ref="A14:D14"/>
  </mergeCell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9" max="12" width="2.38"/>
    <col customWidth="1" min="13" max="15" width="2.5"/>
    <col customWidth="1" min="16" max="19" width="2.63"/>
  </cols>
  <sheetData>
    <row r="1">
      <c r="B1" s="1"/>
    </row>
    <row r="2">
      <c r="B2" s="1" t="s">
        <v>0</v>
      </c>
    </row>
    <row r="3">
      <c r="A3" s="2"/>
      <c r="B3" s="3" t="s">
        <v>1</v>
      </c>
      <c r="C3" s="4"/>
      <c r="D3" s="4"/>
      <c r="E3" s="4"/>
      <c r="F3" s="4"/>
      <c r="G3" s="5"/>
      <c r="H3" s="6"/>
    </row>
    <row r="4">
      <c r="A4" s="1"/>
      <c r="B4" s="1"/>
      <c r="C4" s="1"/>
      <c r="D4" s="1"/>
      <c r="E4" s="1"/>
      <c r="F4" s="1"/>
      <c r="G4" s="1"/>
      <c r="H4" s="1"/>
      <c r="T4" s="1"/>
      <c r="U4" s="1"/>
    </row>
    <row r="5" ht="22.5" customHeight="1">
      <c r="A5" s="7" t="s">
        <v>2</v>
      </c>
      <c r="B5" s="7" t="s">
        <v>3</v>
      </c>
      <c r="C5" s="7" t="s">
        <v>4</v>
      </c>
      <c r="D5" s="7" t="s">
        <v>5</v>
      </c>
      <c r="E5" s="7" t="s">
        <v>6</v>
      </c>
      <c r="F5" s="7" t="s">
        <v>7</v>
      </c>
      <c r="G5" s="7" t="s">
        <v>8</v>
      </c>
      <c r="H5" s="7" t="s">
        <v>9</v>
      </c>
      <c r="T5" s="1" t="s">
        <v>146</v>
      </c>
      <c r="U5" s="1" t="s">
        <v>147</v>
      </c>
    </row>
    <row r="6" ht="22.5" customHeight="1">
      <c r="A6" s="8">
        <v>-1.0</v>
      </c>
      <c r="B6" s="8">
        <v>43.0</v>
      </c>
      <c r="C6" s="8">
        <v>63.0</v>
      </c>
      <c r="D6" s="9">
        <f t="shared" ref="D6:D12" si="2">AVERAGE(B6:C6)</f>
        <v>53</v>
      </c>
      <c r="E6" s="8">
        <f t="shared" ref="E6:E12" si="3">ROUND(F6*H6,0)</f>
        <v>74</v>
      </c>
      <c r="F6" s="8">
        <f>ROUND(F7 * 0.9,0)</f>
        <v>92</v>
      </c>
      <c r="G6" s="8">
        <f t="shared" ref="G6:G12" si="4">AVERAGE(E6:F6)</f>
        <v>83</v>
      </c>
      <c r="H6" s="8">
        <v>0.8</v>
      </c>
      <c r="T6" s="38">
        <f t="shared" ref="T6:U6" si="1">ROUND(E7*1.5,0)</f>
        <v>123</v>
      </c>
      <c r="U6" s="38">
        <f t="shared" si="1"/>
        <v>153</v>
      </c>
    </row>
    <row r="7" ht="22.5" customHeight="1">
      <c r="A7" s="8">
        <v>0.0</v>
      </c>
      <c r="B7" s="8">
        <v>46.0</v>
      </c>
      <c r="C7" s="8">
        <v>68.0</v>
      </c>
      <c r="D7" s="9">
        <f t="shared" si="2"/>
        <v>57</v>
      </c>
      <c r="E7" s="8">
        <f t="shared" si="3"/>
        <v>82</v>
      </c>
      <c r="F7" s="8">
        <v>102.0</v>
      </c>
      <c r="G7" s="8">
        <f t="shared" si="4"/>
        <v>92</v>
      </c>
      <c r="H7" s="8">
        <v>0.8</v>
      </c>
      <c r="T7" s="38">
        <f t="shared" ref="T7:U7" si="5">ROUND(E8*1.5,0)</f>
        <v>135</v>
      </c>
      <c r="U7" s="38">
        <f t="shared" si="5"/>
        <v>168</v>
      </c>
    </row>
    <row r="8" ht="22.5" customHeight="1">
      <c r="A8" s="8">
        <v>1.0</v>
      </c>
      <c r="B8" s="8">
        <v>51.0</v>
      </c>
      <c r="C8" s="8">
        <v>75.0</v>
      </c>
      <c r="D8" s="9">
        <f t="shared" si="2"/>
        <v>63</v>
      </c>
      <c r="E8" s="8">
        <f t="shared" si="3"/>
        <v>90</v>
      </c>
      <c r="F8" s="8">
        <f t="shared" ref="F8:F12" si="7">ROUND(F7*1.1,0)</f>
        <v>112</v>
      </c>
      <c r="G8" s="8">
        <f t="shared" si="4"/>
        <v>101</v>
      </c>
      <c r="H8" s="8">
        <v>0.8</v>
      </c>
      <c r="T8" s="38">
        <f t="shared" ref="T8:U8" si="6">ROUND(E9*1.5,0)</f>
        <v>147</v>
      </c>
      <c r="U8" s="38">
        <f t="shared" si="6"/>
        <v>185</v>
      </c>
    </row>
    <row r="9" ht="22.5" customHeight="1">
      <c r="A9" s="8">
        <v>2.0</v>
      </c>
      <c r="B9" s="8">
        <v>57.0</v>
      </c>
      <c r="C9" s="8">
        <v>83.0</v>
      </c>
      <c r="D9" s="9">
        <f t="shared" si="2"/>
        <v>70</v>
      </c>
      <c r="E9" s="8">
        <f t="shared" si="3"/>
        <v>98</v>
      </c>
      <c r="F9" s="8">
        <f t="shared" si="7"/>
        <v>123</v>
      </c>
      <c r="G9" s="8">
        <f t="shared" si="4"/>
        <v>110.5</v>
      </c>
      <c r="H9" s="8">
        <v>0.8</v>
      </c>
      <c r="T9" s="38">
        <f t="shared" ref="T9:U9" si="8">ROUND(E10*1.5,0)</f>
        <v>162</v>
      </c>
      <c r="U9" s="38">
        <f t="shared" si="8"/>
        <v>203</v>
      </c>
    </row>
    <row r="10" ht="22.5" customHeight="1">
      <c r="A10" s="8">
        <v>3.0</v>
      </c>
      <c r="B10" s="8">
        <v>63.0</v>
      </c>
      <c r="C10" s="8">
        <v>92.0</v>
      </c>
      <c r="D10" s="9">
        <f t="shared" si="2"/>
        <v>77.5</v>
      </c>
      <c r="E10" s="8">
        <f t="shared" si="3"/>
        <v>108</v>
      </c>
      <c r="F10" s="8">
        <f t="shared" si="7"/>
        <v>135</v>
      </c>
      <c r="G10" s="8">
        <f t="shared" si="4"/>
        <v>121.5</v>
      </c>
      <c r="H10" s="8">
        <v>0.8</v>
      </c>
      <c r="T10" s="38">
        <f t="shared" ref="T10:U10" si="9">ROUND(E11*1.5,0)</f>
        <v>179</v>
      </c>
      <c r="U10" s="38">
        <f t="shared" si="9"/>
        <v>224</v>
      </c>
    </row>
    <row r="11" ht="22.5" customHeight="1">
      <c r="A11" s="8">
        <v>4.0</v>
      </c>
      <c r="B11" s="8">
        <v>70.0</v>
      </c>
      <c r="C11" s="8">
        <v>102.0</v>
      </c>
      <c r="D11" s="9">
        <f t="shared" si="2"/>
        <v>86</v>
      </c>
      <c r="E11" s="8">
        <f t="shared" si="3"/>
        <v>119</v>
      </c>
      <c r="F11" s="8">
        <f t="shared" si="7"/>
        <v>149</v>
      </c>
      <c r="G11" s="8">
        <f t="shared" si="4"/>
        <v>134</v>
      </c>
      <c r="H11" s="8">
        <v>0.8</v>
      </c>
      <c r="T11" s="38">
        <f t="shared" ref="T11:U11" si="10">ROUND(E12*1.5,0)</f>
        <v>197</v>
      </c>
      <c r="U11" s="38">
        <f t="shared" si="10"/>
        <v>246</v>
      </c>
    </row>
    <row r="12" ht="22.5" customHeight="1">
      <c r="A12" s="8">
        <v>5.0</v>
      </c>
      <c r="B12" s="8">
        <v>78.0</v>
      </c>
      <c r="C12" s="8">
        <v>113.0</v>
      </c>
      <c r="D12" s="9">
        <f t="shared" si="2"/>
        <v>95.5</v>
      </c>
      <c r="E12" s="8">
        <f t="shared" si="3"/>
        <v>131</v>
      </c>
      <c r="F12" s="8">
        <f t="shared" si="7"/>
        <v>164</v>
      </c>
      <c r="G12" s="8">
        <f t="shared" si="4"/>
        <v>147.5</v>
      </c>
      <c r="H12" s="8">
        <v>0.8</v>
      </c>
      <c r="T12" s="38">
        <f t="shared" ref="T12:U12" si="11">E13*1.5</f>
        <v>0</v>
      </c>
      <c r="U12" s="38">
        <f t="shared" si="11"/>
        <v>0</v>
      </c>
    </row>
    <row r="14" ht="11.25" customHeight="1">
      <c r="I14" s="1"/>
    </row>
    <row r="15">
      <c r="A15" s="3" t="s">
        <v>10</v>
      </c>
      <c r="B15" s="4"/>
      <c r="C15" s="5"/>
      <c r="J15" s="1"/>
      <c r="K15" s="1"/>
      <c r="L15" s="1"/>
    </row>
    <row r="16" ht="39.0" customHeight="1">
      <c r="A16" s="2" t="s">
        <v>11</v>
      </c>
      <c r="B16" s="2" t="s">
        <v>12</v>
      </c>
      <c r="C16" s="2" t="s">
        <v>13</v>
      </c>
      <c r="D16" s="1" t="s">
        <v>79</v>
      </c>
      <c r="J16" s="1"/>
      <c r="K16" s="1"/>
      <c r="L16" s="1"/>
    </row>
    <row r="17" ht="138.0" customHeight="1">
      <c r="A17" s="13" t="s">
        <v>148</v>
      </c>
      <c r="B17" s="13" t="s">
        <v>149</v>
      </c>
      <c r="C17" s="13" t="s">
        <v>150</v>
      </c>
      <c r="D17" s="21" t="s">
        <v>151</v>
      </c>
      <c r="J17" s="21"/>
      <c r="K17" s="21"/>
      <c r="L17" s="21"/>
    </row>
    <row r="18">
      <c r="H18" s="1" t="s">
        <v>152</v>
      </c>
    </row>
    <row r="19">
      <c r="A19" s="1" t="s">
        <v>37</v>
      </c>
      <c r="B19" s="1" t="s">
        <v>38</v>
      </c>
      <c r="C19" s="1" t="s">
        <v>39</v>
      </c>
      <c r="D19" s="1" t="s">
        <v>40</v>
      </c>
      <c r="O19" s="39"/>
      <c r="P19" s="16"/>
    </row>
    <row r="20">
      <c r="A20" s="33" t="s">
        <v>153</v>
      </c>
      <c r="B20" s="33" t="s">
        <v>154</v>
      </c>
      <c r="C20" s="33" t="s">
        <v>155</v>
      </c>
      <c r="D20" s="21" t="s">
        <v>156</v>
      </c>
      <c r="N20" s="39"/>
    </row>
    <row r="21">
      <c r="M21" s="39"/>
    </row>
    <row r="22">
      <c r="M22" s="39"/>
    </row>
    <row r="23">
      <c r="N23" s="39"/>
    </row>
  </sheetData>
  <mergeCells count="2">
    <mergeCell ref="B3:G3"/>
    <mergeCell ref="A15:C15"/>
  </mergeCells>
  <drawing r:id="rId4"/>
  <legacyDrawing r:id="rId5"/>
  <tableParts count="1">
    <tablePart r:id="rId7"/>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17.38"/>
    <col customWidth="1" min="3" max="3" width="17.75"/>
    <col customWidth="1" min="4" max="4" width="17.25"/>
    <col customWidth="1" min="5" max="5" width="18.13"/>
    <col customWidth="1" min="6" max="6" width="18.5"/>
    <col customWidth="1" min="7" max="7" width="25.63"/>
    <col customWidth="1" min="9" max="9" width="16.0"/>
    <col customWidth="1" min="10" max="10" width="24.5"/>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68.0</v>
      </c>
      <c r="C6" s="8">
        <v>96.0</v>
      </c>
      <c r="D6" s="9">
        <f t="shared" ref="D6:D12" si="1">AVERAGE(B6:C6)</f>
        <v>82</v>
      </c>
      <c r="E6" s="8">
        <f t="shared" ref="E6:E12" si="2">ROUND(F6*H6,0)</f>
        <v>64</v>
      </c>
      <c r="F6" s="8">
        <f>ROUND(F7 * 0.9,0)</f>
        <v>99</v>
      </c>
      <c r="G6" s="8">
        <f t="shared" ref="G6:G12" si="3">AVERAGE(E6:F6)</f>
        <v>81.5</v>
      </c>
      <c r="H6" s="8">
        <v>0.65</v>
      </c>
    </row>
    <row r="7" ht="22.5" customHeight="1">
      <c r="A7" s="8">
        <v>0.0</v>
      </c>
      <c r="B7" s="8">
        <v>72.0</v>
      </c>
      <c r="C7" s="8">
        <v>101.0</v>
      </c>
      <c r="D7" s="9">
        <f t="shared" si="1"/>
        <v>86.5</v>
      </c>
      <c r="E7" s="8">
        <f t="shared" si="2"/>
        <v>72</v>
      </c>
      <c r="F7" s="8">
        <v>110.0</v>
      </c>
      <c r="G7" s="8">
        <f t="shared" si="3"/>
        <v>91</v>
      </c>
      <c r="H7" s="8">
        <v>0.65</v>
      </c>
    </row>
    <row r="8" ht="22.5" customHeight="1">
      <c r="A8" s="8">
        <v>1.0</v>
      </c>
      <c r="B8" s="8">
        <v>80.0</v>
      </c>
      <c r="C8" s="8">
        <v>112.0</v>
      </c>
      <c r="D8" s="9">
        <f t="shared" si="1"/>
        <v>96</v>
      </c>
      <c r="E8" s="8">
        <f t="shared" si="2"/>
        <v>79</v>
      </c>
      <c r="F8" s="8">
        <f t="shared" ref="F8:F12" si="4">ROUND(F7*1.1,0)</f>
        <v>121</v>
      </c>
      <c r="G8" s="8">
        <f t="shared" si="3"/>
        <v>100</v>
      </c>
      <c r="H8" s="8">
        <v>0.65</v>
      </c>
    </row>
    <row r="9" ht="22.5" customHeight="1">
      <c r="A9" s="8">
        <v>2.0</v>
      </c>
      <c r="B9" s="8">
        <v>89.0</v>
      </c>
      <c r="C9" s="8">
        <v>124.0</v>
      </c>
      <c r="D9" s="9">
        <f t="shared" si="1"/>
        <v>106.5</v>
      </c>
      <c r="E9" s="8">
        <f t="shared" si="2"/>
        <v>86</v>
      </c>
      <c r="F9" s="8">
        <f t="shared" si="4"/>
        <v>133</v>
      </c>
      <c r="G9" s="8">
        <f t="shared" si="3"/>
        <v>109.5</v>
      </c>
      <c r="H9" s="8">
        <v>0.65</v>
      </c>
    </row>
    <row r="10" ht="22.5" customHeight="1">
      <c r="A10" s="8">
        <v>3.0</v>
      </c>
      <c r="B10" s="8">
        <v>99.0</v>
      </c>
      <c r="C10" s="8">
        <v>138.0</v>
      </c>
      <c r="D10" s="9">
        <f t="shared" si="1"/>
        <v>118.5</v>
      </c>
      <c r="E10" s="8">
        <f t="shared" si="2"/>
        <v>95</v>
      </c>
      <c r="F10" s="8">
        <f t="shared" si="4"/>
        <v>146</v>
      </c>
      <c r="G10" s="8">
        <f t="shared" si="3"/>
        <v>120.5</v>
      </c>
      <c r="H10" s="8">
        <v>0.65</v>
      </c>
    </row>
    <row r="11" ht="22.5" customHeight="1">
      <c r="A11" s="8">
        <v>4.0</v>
      </c>
      <c r="B11" s="8">
        <v>110.0</v>
      </c>
      <c r="C11" s="8">
        <v>153.0</v>
      </c>
      <c r="D11" s="9">
        <f t="shared" si="1"/>
        <v>131.5</v>
      </c>
      <c r="E11" s="8">
        <f t="shared" si="2"/>
        <v>105</v>
      </c>
      <c r="F11" s="8">
        <f t="shared" si="4"/>
        <v>161</v>
      </c>
      <c r="G11" s="8">
        <f t="shared" si="3"/>
        <v>133</v>
      </c>
      <c r="H11" s="8">
        <v>0.65</v>
      </c>
    </row>
    <row r="12" ht="22.5" customHeight="1">
      <c r="A12" s="8">
        <v>5.0</v>
      </c>
      <c r="B12" s="8">
        <v>122.0</v>
      </c>
      <c r="C12" s="8">
        <v>170.0</v>
      </c>
      <c r="D12" s="9">
        <f t="shared" si="1"/>
        <v>146</v>
      </c>
      <c r="E12" s="8">
        <f t="shared" si="2"/>
        <v>115</v>
      </c>
      <c r="F12" s="8">
        <f t="shared" si="4"/>
        <v>177</v>
      </c>
      <c r="G12" s="8">
        <f t="shared" si="3"/>
        <v>146</v>
      </c>
      <c r="H12" s="8">
        <v>0.65</v>
      </c>
    </row>
    <row r="14">
      <c r="K14" s="10"/>
      <c r="L14" s="1"/>
    </row>
    <row r="15">
      <c r="K15" s="14"/>
    </row>
    <row r="16" ht="39.0" customHeight="1">
      <c r="K16" s="14"/>
    </row>
    <row r="17">
      <c r="A17" s="3" t="s">
        <v>10</v>
      </c>
      <c r="B17" s="4"/>
      <c r="C17" s="5"/>
    </row>
    <row r="18">
      <c r="A18" s="2" t="s">
        <v>11</v>
      </c>
      <c r="B18" s="2" t="s">
        <v>12</v>
      </c>
      <c r="C18" s="2" t="s">
        <v>13</v>
      </c>
    </row>
    <row r="19">
      <c r="A19" s="13" t="s">
        <v>157</v>
      </c>
      <c r="B19" s="13" t="s">
        <v>158</v>
      </c>
      <c r="C19" s="13" t="s">
        <v>159</v>
      </c>
    </row>
    <row r="21">
      <c r="A21" s="1" t="s">
        <v>160</v>
      </c>
      <c r="B21" s="1" t="s">
        <v>161</v>
      </c>
      <c r="C21" s="1" t="s">
        <v>162</v>
      </c>
      <c r="D21" s="1" t="s">
        <v>163</v>
      </c>
    </row>
    <row r="22">
      <c r="A22" s="33" t="s">
        <v>164</v>
      </c>
      <c r="B22" s="33" t="s">
        <v>165</v>
      </c>
      <c r="C22" s="33" t="s">
        <v>166</v>
      </c>
      <c r="D22" s="21" t="s">
        <v>167</v>
      </c>
    </row>
  </sheetData>
  <mergeCells count="2">
    <mergeCell ref="B3:G3"/>
    <mergeCell ref="A17:C17"/>
  </mergeCells>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9" max="16" width="2.75"/>
    <col customWidth="1" min="17" max="17" width="2.25"/>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57.0</v>
      </c>
      <c r="C6" s="8">
        <v>75.0</v>
      </c>
      <c r="D6" s="9">
        <f t="shared" ref="D6:D12" si="1">AVERAGE(B6:C6)</f>
        <v>66</v>
      </c>
      <c r="E6" s="8">
        <f t="shared" ref="E6:E12" si="2">ROUND(F6*H6,0)</f>
        <v>62</v>
      </c>
      <c r="F6" s="8">
        <f>ROUND(F7 * 0.9,0)</f>
        <v>77</v>
      </c>
      <c r="G6" s="8">
        <f t="shared" ref="G6:G12" si="3">AVERAGE(E6:F6)</f>
        <v>69.5</v>
      </c>
      <c r="H6" s="8">
        <v>0.8</v>
      </c>
    </row>
    <row r="7" ht="22.5" customHeight="1">
      <c r="A7" s="8">
        <v>0.0</v>
      </c>
      <c r="B7" s="8">
        <v>60.0</v>
      </c>
      <c r="C7" s="8">
        <v>80.0</v>
      </c>
      <c r="D7" s="9">
        <f t="shared" si="1"/>
        <v>70</v>
      </c>
      <c r="E7" s="8">
        <f t="shared" si="2"/>
        <v>68</v>
      </c>
      <c r="F7" s="8">
        <v>85.0</v>
      </c>
      <c r="G7" s="8">
        <f t="shared" si="3"/>
        <v>76.5</v>
      </c>
      <c r="H7" s="8">
        <v>0.8</v>
      </c>
    </row>
    <row r="8" ht="22.5" customHeight="1">
      <c r="A8" s="8">
        <v>1.0</v>
      </c>
      <c r="B8" s="8">
        <v>67.0</v>
      </c>
      <c r="C8" s="8">
        <v>90.0</v>
      </c>
      <c r="D8" s="9">
        <f t="shared" si="1"/>
        <v>78.5</v>
      </c>
      <c r="E8" s="8">
        <f t="shared" si="2"/>
        <v>75</v>
      </c>
      <c r="F8" s="8">
        <f t="shared" ref="F8:F12" si="4">ROUND(F7*1.1,0)</f>
        <v>94</v>
      </c>
      <c r="G8" s="8">
        <f t="shared" si="3"/>
        <v>84.5</v>
      </c>
      <c r="H8" s="8">
        <v>0.8</v>
      </c>
    </row>
    <row r="9" ht="22.5" customHeight="1">
      <c r="A9" s="8">
        <v>2.0</v>
      </c>
      <c r="B9" s="8">
        <v>75.0</v>
      </c>
      <c r="C9" s="8">
        <v>101.0</v>
      </c>
      <c r="D9" s="9">
        <f t="shared" si="1"/>
        <v>88</v>
      </c>
      <c r="E9" s="8">
        <f t="shared" si="2"/>
        <v>82</v>
      </c>
      <c r="F9" s="8">
        <f t="shared" si="4"/>
        <v>103</v>
      </c>
      <c r="G9" s="8">
        <f t="shared" si="3"/>
        <v>92.5</v>
      </c>
      <c r="H9" s="8">
        <v>0.8</v>
      </c>
    </row>
    <row r="10" ht="22.5" customHeight="1">
      <c r="A10" s="8">
        <v>3.0</v>
      </c>
      <c r="B10" s="8">
        <v>84.0</v>
      </c>
      <c r="C10" s="8">
        <v>113.0</v>
      </c>
      <c r="D10" s="9">
        <f t="shared" si="1"/>
        <v>98.5</v>
      </c>
      <c r="E10" s="8">
        <f t="shared" si="2"/>
        <v>90</v>
      </c>
      <c r="F10" s="8">
        <f t="shared" si="4"/>
        <v>113</v>
      </c>
      <c r="G10" s="8">
        <f t="shared" si="3"/>
        <v>101.5</v>
      </c>
      <c r="H10" s="8">
        <v>0.8</v>
      </c>
    </row>
    <row r="11" ht="22.5" customHeight="1">
      <c r="A11" s="8">
        <v>4.0</v>
      </c>
      <c r="B11" s="8">
        <v>94.0</v>
      </c>
      <c r="C11" s="8">
        <v>127.0</v>
      </c>
      <c r="D11" s="9">
        <f t="shared" si="1"/>
        <v>110.5</v>
      </c>
      <c r="E11" s="8">
        <f t="shared" si="2"/>
        <v>99</v>
      </c>
      <c r="F11" s="8">
        <f t="shared" si="4"/>
        <v>124</v>
      </c>
      <c r="G11" s="8">
        <f t="shared" si="3"/>
        <v>111.5</v>
      </c>
      <c r="H11" s="8">
        <v>0.8</v>
      </c>
    </row>
    <row r="12" ht="22.5" customHeight="1">
      <c r="A12" s="8">
        <v>5.0</v>
      </c>
      <c r="B12" s="8">
        <v>105.0</v>
      </c>
      <c r="C12" s="8">
        <v>142.0</v>
      </c>
      <c r="D12" s="9">
        <f t="shared" si="1"/>
        <v>123.5</v>
      </c>
      <c r="E12" s="8">
        <f t="shared" si="2"/>
        <v>109</v>
      </c>
      <c r="F12" s="8">
        <f t="shared" si="4"/>
        <v>136</v>
      </c>
      <c r="G12" s="8">
        <f t="shared" si="3"/>
        <v>122.5</v>
      </c>
      <c r="H12" s="8">
        <v>0.8</v>
      </c>
    </row>
    <row r="14">
      <c r="I14" s="10"/>
      <c r="J14" s="1"/>
    </row>
    <row r="15">
      <c r="I15" s="1"/>
    </row>
    <row r="16" ht="51.75" customHeight="1">
      <c r="A16" s="3" t="s">
        <v>10</v>
      </c>
      <c r="B16" s="4"/>
      <c r="C16" s="5"/>
    </row>
    <row r="17">
      <c r="A17" s="2" t="s">
        <v>11</v>
      </c>
      <c r="B17" s="2" t="s">
        <v>12</v>
      </c>
      <c r="C17" s="2" t="s">
        <v>13</v>
      </c>
      <c r="I17" s="1"/>
    </row>
    <row r="18">
      <c r="A18" s="13" t="s">
        <v>168</v>
      </c>
      <c r="B18" s="13" t="s">
        <v>169</v>
      </c>
      <c r="C18" s="13" t="s">
        <v>170</v>
      </c>
      <c r="I18" s="1"/>
    </row>
    <row r="19">
      <c r="K19" s="11"/>
    </row>
    <row r="20">
      <c r="A20" s="1" t="s">
        <v>160</v>
      </c>
      <c r="B20" s="1" t="s">
        <v>161</v>
      </c>
      <c r="C20" s="1" t="s">
        <v>162</v>
      </c>
      <c r="D20" s="1" t="s">
        <v>163</v>
      </c>
      <c r="K20" s="11"/>
    </row>
    <row r="21">
      <c r="A21" s="33" t="s">
        <v>171</v>
      </c>
      <c r="B21" s="33" t="s">
        <v>172</v>
      </c>
      <c r="C21" s="33" t="s">
        <v>173</v>
      </c>
      <c r="D21" s="21" t="s">
        <v>174</v>
      </c>
      <c r="J21" s="1" t="s">
        <v>175</v>
      </c>
    </row>
    <row r="24">
      <c r="K24" s="11"/>
      <c r="L24" s="40"/>
      <c r="M24" s="11"/>
    </row>
    <row r="25">
      <c r="K25" s="40"/>
      <c r="L25" s="17"/>
      <c r="M25" s="41"/>
    </row>
    <row r="26">
      <c r="K26" s="11"/>
      <c r="L26" s="31"/>
    </row>
  </sheetData>
  <mergeCells count="5">
    <mergeCell ref="B3:G3"/>
    <mergeCell ref="A16:C16"/>
    <mergeCell ref="I17:M17"/>
    <mergeCell ref="I18:Q18"/>
    <mergeCell ref="J21:M21"/>
  </mergeCells>
  <drawing r:id="rId4"/>
  <legacyDrawing r:id="rId5"/>
  <tableParts count="1">
    <tablePart r:id="rId7"/>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8" max="8" width="14.0"/>
    <col customWidth="1" min="9" max="9" width="15.5"/>
    <col customWidth="1" min="10" max="10" width="28.88"/>
    <col customWidth="1" min="12" max="12" width="3.0"/>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67.0</v>
      </c>
      <c r="C6" s="8">
        <v>105.0</v>
      </c>
      <c r="D6" s="9">
        <f t="shared" ref="D6:D12" si="2">AVERAGE(B6:C6)</f>
        <v>86</v>
      </c>
      <c r="E6" s="8">
        <f t="shared" ref="E6:F6" si="1">ROUND(E7 * 0.9,0)</f>
        <v>67</v>
      </c>
      <c r="F6" s="8">
        <f t="shared" si="1"/>
        <v>132</v>
      </c>
      <c r="G6" s="8">
        <f t="shared" ref="G6:G12" si="3">AVERAGE(E6:F6)</f>
        <v>99.5</v>
      </c>
      <c r="H6" s="8">
        <v>0.5</v>
      </c>
    </row>
    <row r="7" ht="22.5" customHeight="1">
      <c r="A7" s="8">
        <v>0.0</v>
      </c>
      <c r="B7" s="8">
        <v>70.0</v>
      </c>
      <c r="C7" s="8">
        <v>111.0</v>
      </c>
      <c r="D7" s="9">
        <f t="shared" si="2"/>
        <v>90.5</v>
      </c>
      <c r="E7" s="8">
        <f t="shared" ref="E7:E12" si="4">ROUND(F7*H7,0)</f>
        <v>74</v>
      </c>
      <c r="F7" s="8">
        <v>147.0</v>
      </c>
      <c r="G7" s="8">
        <f t="shared" si="3"/>
        <v>110.5</v>
      </c>
      <c r="H7" s="8">
        <v>0.5</v>
      </c>
    </row>
    <row r="8" ht="22.5" customHeight="1">
      <c r="A8" s="8">
        <v>1.0</v>
      </c>
      <c r="B8" s="8">
        <v>76.0</v>
      </c>
      <c r="C8" s="8">
        <v>124.0</v>
      </c>
      <c r="D8" s="9">
        <f t="shared" si="2"/>
        <v>100</v>
      </c>
      <c r="E8" s="8">
        <f t="shared" si="4"/>
        <v>81</v>
      </c>
      <c r="F8" s="8">
        <f t="shared" ref="F8:F12" si="5">ROUND(F7*1.1,0)</f>
        <v>162</v>
      </c>
      <c r="G8" s="8">
        <f t="shared" si="3"/>
        <v>121.5</v>
      </c>
      <c r="H8" s="8">
        <v>0.5</v>
      </c>
    </row>
    <row r="9" ht="22.5" customHeight="1">
      <c r="A9" s="8">
        <v>2.0</v>
      </c>
      <c r="B9" s="8">
        <v>77.0</v>
      </c>
      <c r="C9" s="8">
        <v>139.0</v>
      </c>
      <c r="D9" s="9">
        <f t="shared" si="2"/>
        <v>108</v>
      </c>
      <c r="E9" s="8">
        <f t="shared" si="4"/>
        <v>89</v>
      </c>
      <c r="F9" s="8">
        <f t="shared" si="5"/>
        <v>178</v>
      </c>
      <c r="G9" s="8">
        <f t="shared" si="3"/>
        <v>133.5</v>
      </c>
      <c r="H9" s="8">
        <v>0.5</v>
      </c>
    </row>
    <row r="10" ht="22.5" customHeight="1">
      <c r="A10" s="8">
        <v>3.0</v>
      </c>
      <c r="B10" s="8">
        <v>89.0</v>
      </c>
      <c r="C10" s="8">
        <v>156.0</v>
      </c>
      <c r="D10" s="9">
        <f t="shared" si="2"/>
        <v>122.5</v>
      </c>
      <c r="E10" s="8">
        <f t="shared" si="4"/>
        <v>98</v>
      </c>
      <c r="F10" s="8">
        <f t="shared" si="5"/>
        <v>196</v>
      </c>
      <c r="G10" s="8">
        <f t="shared" si="3"/>
        <v>147</v>
      </c>
      <c r="H10" s="8">
        <v>0.5</v>
      </c>
    </row>
    <row r="11" ht="22.5" customHeight="1">
      <c r="A11" s="8">
        <v>4.0</v>
      </c>
      <c r="B11" s="8">
        <v>96.0</v>
      </c>
      <c r="C11" s="8">
        <v>175.0</v>
      </c>
      <c r="D11" s="9">
        <f t="shared" si="2"/>
        <v>135.5</v>
      </c>
      <c r="E11" s="8">
        <f t="shared" si="4"/>
        <v>108</v>
      </c>
      <c r="F11" s="8">
        <f t="shared" si="5"/>
        <v>216</v>
      </c>
      <c r="G11" s="8">
        <f t="shared" si="3"/>
        <v>162</v>
      </c>
      <c r="H11" s="8">
        <v>0.5</v>
      </c>
    </row>
    <row r="12" ht="22.5" customHeight="1">
      <c r="A12" s="8">
        <v>5.0</v>
      </c>
      <c r="B12" s="8">
        <v>104.0</v>
      </c>
      <c r="C12" s="8">
        <v>196.0</v>
      </c>
      <c r="D12" s="9">
        <f t="shared" si="2"/>
        <v>150</v>
      </c>
      <c r="E12" s="8">
        <f t="shared" si="4"/>
        <v>119</v>
      </c>
      <c r="F12" s="8">
        <f t="shared" si="5"/>
        <v>238</v>
      </c>
      <c r="G12" s="8">
        <f t="shared" si="3"/>
        <v>178.5</v>
      </c>
      <c r="H12" s="8">
        <v>0.5</v>
      </c>
    </row>
    <row r="14">
      <c r="A14" s="3" t="s">
        <v>10</v>
      </c>
      <c r="B14" s="4"/>
      <c r="C14" s="4"/>
      <c r="D14" s="4"/>
    </row>
    <row r="15">
      <c r="A15" s="2" t="s">
        <v>11</v>
      </c>
      <c r="B15" s="2" t="s">
        <v>12</v>
      </c>
      <c r="C15" s="3" t="s">
        <v>13</v>
      </c>
      <c r="D15" s="2" t="s">
        <v>54</v>
      </c>
    </row>
    <row r="16" ht="59.25" customHeight="1">
      <c r="A16" s="13" t="s">
        <v>27</v>
      </c>
      <c r="B16" s="13" t="s">
        <v>27</v>
      </c>
      <c r="C16" s="23" t="s">
        <v>176</v>
      </c>
      <c r="D16" s="13" t="s">
        <v>177</v>
      </c>
    </row>
    <row r="18">
      <c r="A18" s="1" t="s">
        <v>160</v>
      </c>
      <c r="B18" s="1" t="s">
        <v>161</v>
      </c>
      <c r="C18" s="1" t="s">
        <v>162</v>
      </c>
      <c r="D18" s="1" t="s">
        <v>163</v>
      </c>
    </row>
    <row r="19">
      <c r="A19" s="21" t="s">
        <v>178</v>
      </c>
      <c r="B19" s="21" t="s">
        <v>75</v>
      </c>
      <c r="C19" s="21" t="s">
        <v>179</v>
      </c>
      <c r="D19" s="21" t="s">
        <v>180</v>
      </c>
    </row>
  </sheetData>
  <mergeCells count="2">
    <mergeCell ref="B3:G3"/>
    <mergeCell ref="A14:D14"/>
  </mergeCells>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9" max="9" width="21.13"/>
    <col customWidth="1" min="10" max="10" width="24.5"/>
    <col customWidth="1" min="11" max="11" width="2.75"/>
    <col customWidth="1" min="12" max="12" width="2.5"/>
    <col customWidth="1" min="13" max="13" width="2.63"/>
    <col customWidth="1" min="14" max="18" width="3.13"/>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67.0</v>
      </c>
      <c r="C6" s="8">
        <v>88.0</v>
      </c>
      <c r="D6" s="9">
        <f t="shared" ref="D6:D12" si="1">AVERAGE(B6:C6)</f>
        <v>77.5</v>
      </c>
      <c r="E6" s="8">
        <f t="shared" ref="E6:E12" si="2">ROUND(F6*H6,0)</f>
        <v>67</v>
      </c>
      <c r="F6" s="8">
        <f>ROUND(F7 * 0.9,0)</f>
        <v>84</v>
      </c>
      <c r="G6" s="8">
        <f t="shared" ref="G6:G12" si="3">AVERAGE(E6:F6)</f>
        <v>75.5</v>
      </c>
      <c r="H6" s="8">
        <v>0.8</v>
      </c>
    </row>
    <row r="7" ht="22.5" customHeight="1">
      <c r="A7" s="8">
        <v>0.0</v>
      </c>
      <c r="B7" s="8">
        <v>71.0</v>
      </c>
      <c r="C7" s="8">
        <v>93.0</v>
      </c>
      <c r="D7" s="9">
        <f t="shared" si="1"/>
        <v>82</v>
      </c>
      <c r="E7" s="8">
        <f t="shared" si="2"/>
        <v>74</v>
      </c>
      <c r="F7" s="8">
        <v>93.0</v>
      </c>
      <c r="G7" s="8">
        <f t="shared" si="3"/>
        <v>83.5</v>
      </c>
      <c r="H7" s="8">
        <v>0.8</v>
      </c>
    </row>
    <row r="8" ht="22.5" customHeight="1">
      <c r="A8" s="8">
        <v>1.0</v>
      </c>
      <c r="B8" s="8">
        <v>78.0</v>
      </c>
      <c r="C8" s="8">
        <v>102.0</v>
      </c>
      <c r="D8" s="9">
        <f t="shared" si="1"/>
        <v>90</v>
      </c>
      <c r="E8" s="8">
        <f t="shared" si="2"/>
        <v>82</v>
      </c>
      <c r="F8" s="8">
        <f t="shared" ref="F8:F12" si="4">ROUND(F7*1.1,0)</f>
        <v>102</v>
      </c>
      <c r="G8" s="8">
        <f t="shared" si="3"/>
        <v>92</v>
      </c>
      <c r="H8" s="8">
        <v>0.8</v>
      </c>
    </row>
    <row r="9" ht="22.5" customHeight="1">
      <c r="A9" s="8">
        <v>2.0</v>
      </c>
      <c r="B9" s="8">
        <v>86.0</v>
      </c>
      <c r="C9" s="8">
        <v>112.0</v>
      </c>
      <c r="D9" s="9">
        <f t="shared" si="1"/>
        <v>99</v>
      </c>
      <c r="E9" s="8">
        <f t="shared" si="2"/>
        <v>90</v>
      </c>
      <c r="F9" s="8">
        <f t="shared" si="4"/>
        <v>112</v>
      </c>
      <c r="G9" s="8">
        <f t="shared" si="3"/>
        <v>101</v>
      </c>
      <c r="H9" s="8">
        <v>0.8</v>
      </c>
    </row>
    <row r="10" ht="22.5" customHeight="1">
      <c r="A10" s="8">
        <v>3.0</v>
      </c>
      <c r="B10" s="8">
        <v>95.0</v>
      </c>
      <c r="C10" s="8">
        <v>123.0</v>
      </c>
      <c r="D10" s="9">
        <f t="shared" si="1"/>
        <v>109</v>
      </c>
      <c r="E10" s="8">
        <f t="shared" si="2"/>
        <v>98</v>
      </c>
      <c r="F10" s="8">
        <f t="shared" si="4"/>
        <v>123</v>
      </c>
      <c r="G10" s="8">
        <f t="shared" si="3"/>
        <v>110.5</v>
      </c>
      <c r="H10" s="8">
        <v>0.8</v>
      </c>
    </row>
    <row r="11" ht="22.5" customHeight="1">
      <c r="A11" s="8">
        <v>4.0</v>
      </c>
      <c r="B11" s="8">
        <v>105.0</v>
      </c>
      <c r="C11" s="8">
        <v>135.0</v>
      </c>
      <c r="D11" s="9">
        <f t="shared" si="1"/>
        <v>120</v>
      </c>
      <c r="E11" s="8">
        <f t="shared" si="2"/>
        <v>108</v>
      </c>
      <c r="F11" s="8">
        <f t="shared" si="4"/>
        <v>135</v>
      </c>
      <c r="G11" s="8">
        <f t="shared" si="3"/>
        <v>121.5</v>
      </c>
      <c r="H11" s="8">
        <v>0.8</v>
      </c>
    </row>
    <row r="12" ht="22.5" customHeight="1">
      <c r="A12" s="8">
        <v>5.0</v>
      </c>
      <c r="B12" s="8">
        <v>116.0</v>
      </c>
      <c r="C12" s="8">
        <v>149.0</v>
      </c>
      <c r="D12" s="9">
        <f t="shared" si="1"/>
        <v>132.5</v>
      </c>
      <c r="E12" s="8">
        <f t="shared" si="2"/>
        <v>119</v>
      </c>
      <c r="F12" s="8">
        <f t="shared" si="4"/>
        <v>149</v>
      </c>
      <c r="G12" s="8">
        <f t="shared" si="3"/>
        <v>134</v>
      </c>
      <c r="H12" s="8">
        <v>0.8</v>
      </c>
    </row>
    <row r="14" ht="39.0" customHeight="1">
      <c r="A14" s="3" t="s">
        <v>10</v>
      </c>
      <c r="B14" s="4"/>
      <c r="C14" s="4"/>
    </row>
    <row r="15" ht="29.25" customHeight="1">
      <c r="A15" s="2" t="s">
        <v>11</v>
      </c>
      <c r="B15" s="2" t="s">
        <v>12</v>
      </c>
      <c r="C15" s="3" t="s">
        <v>13</v>
      </c>
      <c r="D15" s="37" t="s">
        <v>181</v>
      </c>
    </row>
    <row r="16">
      <c r="A16" s="13" t="s">
        <v>182</v>
      </c>
      <c r="B16" s="13" t="s">
        <v>27</v>
      </c>
      <c r="C16" s="23" t="s">
        <v>27</v>
      </c>
      <c r="D16" s="37" t="s">
        <v>183</v>
      </c>
    </row>
    <row r="17">
      <c r="A17" s="1"/>
    </row>
    <row r="19">
      <c r="A19" s="1" t="s">
        <v>160</v>
      </c>
      <c r="B19" s="1" t="s">
        <v>161</v>
      </c>
      <c r="C19" s="1" t="s">
        <v>162</v>
      </c>
      <c r="D19" s="1" t="s">
        <v>163</v>
      </c>
    </row>
    <row r="20">
      <c r="A20" s="21" t="s">
        <v>184</v>
      </c>
      <c r="B20" s="21" t="s">
        <v>185</v>
      </c>
      <c r="C20" s="21" t="s">
        <v>186</v>
      </c>
      <c r="D20" s="21" t="s">
        <v>187</v>
      </c>
    </row>
    <row r="22">
      <c r="K22" s="27"/>
      <c r="L22" s="35"/>
      <c r="M22" s="35"/>
      <c r="N22" s="35"/>
      <c r="O22" s="27"/>
    </row>
    <row r="23">
      <c r="K23" s="27"/>
      <c r="L23" s="27"/>
      <c r="M23" s="27"/>
      <c r="N23" s="27"/>
      <c r="O23" s="27"/>
    </row>
  </sheetData>
  <mergeCells count="2">
    <mergeCell ref="B3:G3"/>
    <mergeCell ref="A14:C14"/>
  </mergeCells>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25"/>
    <col customWidth="1" min="3" max="3" width="17.75"/>
    <col customWidth="1" min="4" max="4" width="17.25"/>
    <col customWidth="1" min="5" max="5" width="18.13"/>
    <col customWidth="1" min="6" max="6" width="18.63"/>
    <col customWidth="1" min="7" max="7" width="25.88"/>
    <col customWidth="1" min="9" max="9" width="21.13"/>
    <col customWidth="1" min="10" max="10" width="24.5"/>
  </cols>
  <sheetData>
    <row r="1" ht="14.25" customHeight="1">
      <c r="A1" s="18"/>
      <c r="B1" s="18"/>
      <c r="C1" s="18"/>
      <c r="D1" s="18"/>
      <c r="E1" s="18"/>
      <c r="F1" s="18"/>
      <c r="G1" s="18"/>
      <c r="H1" s="18"/>
    </row>
    <row r="2" ht="14.25" customHeight="1">
      <c r="A2" s="18"/>
      <c r="B2" s="18" t="s">
        <v>0</v>
      </c>
      <c r="C2" s="18"/>
      <c r="D2" s="18"/>
      <c r="E2" s="18"/>
      <c r="F2" s="18"/>
      <c r="G2" s="18"/>
      <c r="H2" s="18"/>
    </row>
    <row r="3" ht="14.25" customHeight="1">
      <c r="A3" s="42"/>
      <c r="B3" s="43" t="s">
        <v>1</v>
      </c>
      <c r="C3" s="4"/>
      <c r="D3" s="4"/>
      <c r="E3" s="4"/>
      <c r="F3" s="4"/>
      <c r="G3" s="5"/>
      <c r="H3" s="44"/>
    </row>
    <row r="4" ht="14.25" customHeight="1">
      <c r="A4" s="45"/>
      <c r="B4" s="45"/>
      <c r="C4" s="45"/>
      <c r="D4" s="45"/>
      <c r="E4" s="45"/>
      <c r="F4" s="45"/>
      <c r="G4" s="46"/>
      <c r="H4" s="46"/>
    </row>
    <row r="5" ht="14.25" customHeight="1">
      <c r="A5" s="47" t="s">
        <v>2</v>
      </c>
      <c r="B5" s="47" t="s">
        <v>3</v>
      </c>
      <c r="C5" s="47" t="s">
        <v>4</v>
      </c>
      <c r="D5" s="47" t="s">
        <v>5</v>
      </c>
      <c r="E5" s="47" t="s">
        <v>6</v>
      </c>
      <c r="F5" s="47" t="s">
        <v>7</v>
      </c>
      <c r="G5" s="48" t="s">
        <v>8</v>
      </c>
      <c r="H5" s="48" t="s">
        <v>9</v>
      </c>
    </row>
    <row r="6" ht="14.25" customHeight="1">
      <c r="A6" s="49">
        <v>-1.0</v>
      </c>
      <c r="B6" s="50">
        <v>85.0</v>
      </c>
      <c r="C6" s="50">
        <v>109.0</v>
      </c>
      <c r="D6" s="51">
        <f t="shared" ref="D6:D12" si="1">AVERAGE(B6:C6)</f>
        <v>97</v>
      </c>
      <c r="E6" s="51">
        <f t="shared" ref="E6:E12" si="2">ROUND(F6*H6,0)</f>
        <v>75</v>
      </c>
      <c r="F6" s="51">
        <f>ROUND(F7 * 0.9,0)</f>
        <v>115</v>
      </c>
      <c r="G6" s="51">
        <f t="shared" ref="G6:G12" si="3">AVERAGE(E6:F6)</f>
        <v>95</v>
      </c>
      <c r="H6" s="50">
        <v>0.65</v>
      </c>
    </row>
    <row r="7" ht="14.25" customHeight="1">
      <c r="A7" s="51">
        <v>0.0</v>
      </c>
      <c r="B7" s="50">
        <v>90.0</v>
      </c>
      <c r="C7" s="50">
        <v>116.0</v>
      </c>
      <c r="D7" s="51">
        <f t="shared" si="1"/>
        <v>103</v>
      </c>
      <c r="E7" s="51">
        <f t="shared" si="2"/>
        <v>83</v>
      </c>
      <c r="F7" s="50">
        <v>128.0</v>
      </c>
      <c r="G7" s="51">
        <f t="shared" si="3"/>
        <v>105.5</v>
      </c>
      <c r="H7" s="50">
        <v>0.65</v>
      </c>
    </row>
    <row r="8" ht="14.25" customHeight="1">
      <c r="A8" s="51">
        <v>1.0</v>
      </c>
      <c r="B8" s="52">
        <v>99.0</v>
      </c>
      <c r="C8" s="52">
        <v>128.0</v>
      </c>
      <c r="D8" s="51">
        <f t="shared" si="1"/>
        <v>113.5</v>
      </c>
      <c r="E8" s="51">
        <f t="shared" si="2"/>
        <v>92</v>
      </c>
      <c r="F8" s="51">
        <f t="shared" ref="F8:F12" si="4">ROUND(F7*1.1,0)</f>
        <v>141</v>
      </c>
      <c r="G8" s="51">
        <f t="shared" si="3"/>
        <v>116.5</v>
      </c>
      <c r="H8" s="50">
        <v>0.65</v>
      </c>
      <c r="K8" s="1"/>
    </row>
    <row r="9" ht="14.25" customHeight="1">
      <c r="A9" s="51">
        <v>2.0</v>
      </c>
      <c r="B9" s="52">
        <v>109.0</v>
      </c>
      <c r="C9" s="52">
        <v>141.0</v>
      </c>
      <c r="D9" s="51">
        <f t="shared" si="1"/>
        <v>125</v>
      </c>
      <c r="E9" s="51">
        <f t="shared" si="2"/>
        <v>101</v>
      </c>
      <c r="F9" s="51">
        <f t="shared" si="4"/>
        <v>155</v>
      </c>
      <c r="G9" s="51">
        <f t="shared" si="3"/>
        <v>128</v>
      </c>
      <c r="H9" s="50">
        <v>0.65</v>
      </c>
    </row>
    <row r="10" ht="14.25" customHeight="1">
      <c r="A10" s="51">
        <v>3.0</v>
      </c>
      <c r="B10" s="52">
        <v>120.0</v>
      </c>
      <c r="C10" s="52">
        <v>155.0</v>
      </c>
      <c r="D10" s="51">
        <f t="shared" si="1"/>
        <v>137.5</v>
      </c>
      <c r="E10" s="51">
        <f t="shared" si="2"/>
        <v>111</v>
      </c>
      <c r="F10" s="51">
        <f t="shared" si="4"/>
        <v>171</v>
      </c>
      <c r="G10" s="51">
        <f t="shared" si="3"/>
        <v>141</v>
      </c>
      <c r="H10" s="50">
        <v>0.65</v>
      </c>
    </row>
    <row r="11" ht="14.25" customHeight="1">
      <c r="A11" s="51">
        <v>4.0</v>
      </c>
      <c r="B11" s="52">
        <v>132.0</v>
      </c>
      <c r="C11" s="52">
        <v>171.0</v>
      </c>
      <c r="D11" s="51">
        <f t="shared" si="1"/>
        <v>151.5</v>
      </c>
      <c r="E11" s="51">
        <f t="shared" si="2"/>
        <v>122</v>
      </c>
      <c r="F11" s="51">
        <f t="shared" si="4"/>
        <v>188</v>
      </c>
      <c r="G11" s="51">
        <f t="shared" si="3"/>
        <v>155</v>
      </c>
      <c r="H11" s="50">
        <v>0.65</v>
      </c>
    </row>
    <row r="12" ht="14.25" customHeight="1">
      <c r="A12" s="51">
        <v>5.0</v>
      </c>
      <c r="B12" s="52">
        <v>145.0</v>
      </c>
      <c r="C12" s="52">
        <v>188.0</v>
      </c>
      <c r="D12" s="51">
        <f t="shared" si="1"/>
        <v>166.5</v>
      </c>
      <c r="E12" s="51">
        <f t="shared" si="2"/>
        <v>135</v>
      </c>
      <c r="F12" s="51">
        <f t="shared" si="4"/>
        <v>207</v>
      </c>
      <c r="G12" s="51">
        <f t="shared" si="3"/>
        <v>171</v>
      </c>
      <c r="H12" s="50">
        <v>0.65</v>
      </c>
    </row>
    <row r="13">
      <c r="A13" s="1"/>
    </row>
    <row r="14">
      <c r="A14" s="3" t="s">
        <v>10</v>
      </c>
      <c r="B14" s="4"/>
      <c r="C14" s="4"/>
    </row>
    <row r="15">
      <c r="A15" s="2" t="s">
        <v>11</v>
      </c>
      <c r="B15" s="2" t="s">
        <v>12</v>
      </c>
      <c r="C15" s="3" t="s">
        <v>13</v>
      </c>
      <c r="D15" s="3" t="s">
        <v>54</v>
      </c>
    </row>
    <row r="16">
      <c r="A16" s="13" t="s">
        <v>27</v>
      </c>
      <c r="B16" s="13" t="s">
        <v>27</v>
      </c>
      <c r="C16" s="13" t="s">
        <v>27</v>
      </c>
      <c r="D16" s="13" t="s">
        <v>27</v>
      </c>
    </row>
    <row r="19">
      <c r="A19" s="1" t="s">
        <v>160</v>
      </c>
      <c r="B19" s="1" t="s">
        <v>161</v>
      </c>
      <c r="C19" s="1" t="s">
        <v>162</v>
      </c>
      <c r="D19" s="1" t="s">
        <v>163</v>
      </c>
    </row>
    <row r="20">
      <c r="A20" s="21" t="s">
        <v>188</v>
      </c>
      <c r="B20" s="21" t="s">
        <v>62</v>
      </c>
      <c r="C20" s="21" t="s">
        <v>189</v>
      </c>
      <c r="D20" s="21" t="s">
        <v>190</v>
      </c>
    </row>
  </sheetData>
  <mergeCells count="2">
    <mergeCell ref="B3:G3"/>
    <mergeCell ref="A14:C14"/>
  </mergeCells>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25"/>
    <col customWidth="1" min="3" max="3" width="17.75"/>
    <col customWidth="1" min="4" max="4" width="17.25"/>
    <col customWidth="1" min="5" max="5" width="18.13"/>
    <col customWidth="1" min="6" max="6" width="18.63"/>
    <col customWidth="1" min="7" max="7" width="25.88"/>
    <col customWidth="1" min="9" max="9" width="21.13"/>
    <col customWidth="1" min="10" max="10" width="24.5"/>
  </cols>
  <sheetData>
    <row r="1">
      <c r="A1" s="18"/>
      <c r="B1" s="18"/>
      <c r="C1" s="18"/>
      <c r="D1" s="18"/>
      <c r="E1" s="18"/>
      <c r="F1" s="18"/>
      <c r="G1" s="18"/>
      <c r="H1" s="18"/>
    </row>
    <row r="2">
      <c r="A2" s="18"/>
      <c r="B2" s="18" t="s">
        <v>0</v>
      </c>
      <c r="C2" s="18"/>
      <c r="D2" s="18"/>
      <c r="E2" s="18"/>
      <c r="F2" s="18"/>
      <c r="G2" s="18"/>
      <c r="H2" s="18"/>
    </row>
    <row r="3" ht="15.75" customHeight="1">
      <c r="A3" s="42"/>
      <c r="B3" s="43" t="s">
        <v>1</v>
      </c>
      <c r="C3" s="4"/>
      <c r="D3" s="4"/>
      <c r="E3" s="4"/>
      <c r="F3" s="4"/>
      <c r="G3" s="5"/>
      <c r="H3" s="44"/>
    </row>
    <row r="4" ht="15.75" customHeight="1">
      <c r="A4" s="45"/>
      <c r="B4" s="45"/>
      <c r="C4" s="45"/>
      <c r="D4" s="45"/>
      <c r="E4" s="45"/>
      <c r="F4" s="45"/>
      <c r="G4" s="46"/>
      <c r="H4" s="46"/>
    </row>
    <row r="5" ht="15.75" customHeight="1">
      <c r="A5" s="47" t="s">
        <v>2</v>
      </c>
      <c r="B5" s="47" t="s">
        <v>3</v>
      </c>
      <c r="C5" s="47" t="s">
        <v>4</v>
      </c>
      <c r="D5" s="47" t="s">
        <v>5</v>
      </c>
      <c r="E5" s="47" t="s">
        <v>6</v>
      </c>
      <c r="F5" s="47" t="s">
        <v>7</v>
      </c>
      <c r="G5" s="48" t="s">
        <v>8</v>
      </c>
      <c r="H5" s="48" t="s">
        <v>9</v>
      </c>
    </row>
    <row r="6" ht="15.75" customHeight="1">
      <c r="A6" s="49">
        <v>-1.0</v>
      </c>
      <c r="B6" s="50">
        <v>61.0</v>
      </c>
      <c r="C6" s="50">
        <v>77.0</v>
      </c>
      <c r="D6" s="51">
        <f t="shared" ref="D6:D12" si="1">AVERAGE(B6:C6)</f>
        <v>69</v>
      </c>
      <c r="E6" s="51">
        <f t="shared" ref="E6:E12" si="2">ROUND(F6*H6,0)</f>
        <v>60</v>
      </c>
      <c r="F6" s="51">
        <f>ROUND(F7 * 0.9,0)</f>
        <v>75</v>
      </c>
      <c r="G6" s="51">
        <f t="shared" ref="G6:G12" si="3">AVERAGE(E6:F6)</f>
        <v>67.5</v>
      </c>
      <c r="H6" s="50">
        <v>0.8</v>
      </c>
    </row>
    <row r="7" ht="15.75" customHeight="1">
      <c r="A7" s="51">
        <v>0.0</v>
      </c>
      <c r="B7" s="50">
        <v>65.0</v>
      </c>
      <c r="C7" s="50">
        <v>83.0</v>
      </c>
      <c r="D7" s="51">
        <f t="shared" si="1"/>
        <v>74</v>
      </c>
      <c r="E7" s="51">
        <f t="shared" si="2"/>
        <v>66</v>
      </c>
      <c r="F7" s="50">
        <v>83.0</v>
      </c>
      <c r="G7" s="51">
        <f t="shared" si="3"/>
        <v>74.5</v>
      </c>
      <c r="H7" s="50">
        <v>0.8</v>
      </c>
    </row>
    <row r="8" ht="15.75" customHeight="1">
      <c r="A8" s="51">
        <v>1.0</v>
      </c>
      <c r="B8" s="52">
        <v>72.0</v>
      </c>
      <c r="C8" s="52">
        <v>91.0</v>
      </c>
      <c r="D8" s="51">
        <f t="shared" si="1"/>
        <v>81.5</v>
      </c>
      <c r="E8" s="51">
        <f t="shared" si="2"/>
        <v>73</v>
      </c>
      <c r="F8" s="51">
        <f t="shared" ref="F8:F12" si="4">ROUND(F7*1.1,0)</f>
        <v>91</v>
      </c>
      <c r="G8" s="51">
        <f t="shared" si="3"/>
        <v>82</v>
      </c>
      <c r="H8" s="50">
        <v>0.8</v>
      </c>
      <c r="K8" s="1"/>
    </row>
    <row r="9" ht="15.75" customHeight="1">
      <c r="A9" s="51">
        <v>2.0</v>
      </c>
      <c r="B9" s="52">
        <v>79.0</v>
      </c>
      <c r="C9" s="52">
        <v>100.0</v>
      </c>
      <c r="D9" s="51">
        <f t="shared" si="1"/>
        <v>89.5</v>
      </c>
      <c r="E9" s="51">
        <f t="shared" si="2"/>
        <v>80</v>
      </c>
      <c r="F9" s="51">
        <f t="shared" si="4"/>
        <v>100</v>
      </c>
      <c r="G9" s="51">
        <f t="shared" si="3"/>
        <v>90</v>
      </c>
      <c r="H9" s="50">
        <v>0.8</v>
      </c>
    </row>
    <row r="10" ht="15.75" customHeight="1">
      <c r="A10" s="51">
        <v>3.0</v>
      </c>
      <c r="B10" s="52">
        <v>87.0</v>
      </c>
      <c r="C10" s="52">
        <v>110.0</v>
      </c>
      <c r="D10" s="51">
        <f t="shared" si="1"/>
        <v>98.5</v>
      </c>
      <c r="E10" s="51">
        <f t="shared" si="2"/>
        <v>88</v>
      </c>
      <c r="F10" s="51">
        <f t="shared" si="4"/>
        <v>110</v>
      </c>
      <c r="G10" s="51">
        <f t="shared" si="3"/>
        <v>99</v>
      </c>
      <c r="H10" s="50">
        <v>0.8</v>
      </c>
    </row>
    <row r="11" ht="15.75" customHeight="1">
      <c r="A11" s="51">
        <v>4.0</v>
      </c>
      <c r="B11" s="52">
        <v>96.0</v>
      </c>
      <c r="C11" s="52">
        <v>121.0</v>
      </c>
      <c r="D11" s="51">
        <f t="shared" si="1"/>
        <v>108.5</v>
      </c>
      <c r="E11" s="51">
        <f t="shared" si="2"/>
        <v>97</v>
      </c>
      <c r="F11" s="51">
        <f t="shared" si="4"/>
        <v>121</v>
      </c>
      <c r="G11" s="51">
        <f t="shared" si="3"/>
        <v>109</v>
      </c>
      <c r="H11" s="50">
        <v>0.8</v>
      </c>
    </row>
    <row r="12" ht="15.75" customHeight="1">
      <c r="A12" s="53">
        <v>5.0</v>
      </c>
      <c r="B12" s="54">
        <v>106.0</v>
      </c>
      <c r="C12" s="54">
        <v>133.0</v>
      </c>
      <c r="D12" s="51">
        <f t="shared" si="1"/>
        <v>119.5</v>
      </c>
      <c r="E12" s="51">
        <f t="shared" si="2"/>
        <v>106</v>
      </c>
      <c r="F12" s="51">
        <f t="shared" si="4"/>
        <v>133</v>
      </c>
      <c r="G12" s="51">
        <f t="shared" si="3"/>
        <v>119.5</v>
      </c>
      <c r="H12" s="50">
        <v>0.8</v>
      </c>
    </row>
    <row r="13">
      <c r="A13" s="55"/>
      <c r="B13" s="56"/>
      <c r="C13" s="56"/>
      <c r="D13" s="18"/>
      <c r="E13" s="57"/>
      <c r="F13" s="57"/>
      <c r="G13" s="57"/>
      <c r="H13" s="58"/>
    </row>
    <row r="14">
      <c r="A14" s="59" t="s">
        <v>10</v>
      </c>
      <c r="B14" s="60"/>
      <c r="C14" s="60"/>
    </row>
    <row r="15">
      <c r="A15" s="2" t="s">
        <v>11</v>
      </c>
      <c r="B15" s="2" t="s">
        <v>191</v>
      </c>
      <c r="C15" s="3" t="s">
        <v>192</v>
      </c>
      <c r="D15" s="3" t="s">
        <v>54</v>
      </c>
    </row>
    <row r="16">
      <c r="A16" s="13" t="s">
        <v>27</v>
      </c>
      <c r="B16" s="13" t="s">
        <v>27</v>
      </c>
      <c r="C16" s="13" t="s">
        <v>16</v>
      </c>
      <c r="D16" s="13" t="s">
        <v>27</v>
      </c>
    </row>
    <row r="19">
      <c r="A19" s="1" t="s">
        <v>160</v>
      </c>
      <c r="B19" s="1" t="s">
        <v>161</v>
      </c>
      <c r="C19" s="1" t="s">
        <v>162</v>
      </c>
      <c r="D19" s="1" t="s">
        <v>163</v>
      </c>
    </row>
    <row r="20">
      <c r="A20" s="21" t="s">
        <v>75</v>
      </c>
      <c r="B20" s="21" t="s">
        <v>193</v>
      </c>
      <c r="C20" s="21" t="s">
        <v>194</v>
      </c>
      <c r="D20" s="21" t="s">
        <v>195</v>
      </c>
    </row>
  </sheetData>
  <mergeCells count="2">
    <mergeCell ref="B3:G3"/>
    <mergeCell ref="A14:C14"/>
  </mergeCells>
  <drawing r:id="rId4"/>
  <legacyDrawing r:id="rId5"/>
  <tableParts count="1">
    <tablePart r:id="rId7"/>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38"/>
    <col customWidth="1" min="3" max="3" width="17.75"/>
    <col customWidth="1" min="4" max="4" width="17.25"/>
    <col customWidth="1" min="5" max="5" width="18.13"/>
    <col customWidth="1" min="6" max="6" width="18.5"/>
    <col customWidth="1" min="7" max="7" width="25.63"/>
    <col customWidth="1" min="9" max="9" width="21.13"/>
    <col customWidth="1" min="10" max="10" width="24.5"/>
  </cols>
  <sheetData>
    <row r="1">
      <c r="B1" s="1"/>
    </row>
    <row r="2">
      <c r="B2" s="1" t="s">
        <v>0</v>
      </c>
    </row>
    <row r="3">
      <c r="A3" s="2"/>
      <c r="B3" s="3" t="s">
        <v>1</v>
      </c>
      <c r="C3" s="4"/>
      <c r="D3" s="4"/>
      <c r="E3" s="4"/>
      <c r="F3" s="4"/>
      <c r="G3" s="5"/>
      <c r="H3" s="6"/>
    </row>
    <row r="4">
      <c r="A4" s="1"/>
      <c r="B4" s="1"/>
      <c r="C4" s="1"/>
      <c r="D4" s="1"/>
      <c r="E4" s="1"/>
      <c r="F4" s="1"/>
      <c r="G4" s="1"/>
      <c r="H4" s="1"/>
    </row>
    <row r="5" ht="22.5" customHeight="1">
      <c r="A5" s="7" t="s">
        <v>2</v>
      </c>
      <c r="B5" s="7" t="s">
        <v>3</v>
      </c>
      <c r="C5" s="7" t="s">
        <v>4</v>
      </c>
      <c r="D5" s="7" t="s">
        <v>5</v>
      </c>
      <c r="E5" s="7" t="s">
        <v>6</v>
      </c>
      <c r="F5" s="7" t="s">
        <v>7</v>
      </c>
      <c r="G5" s="7" t="s">
        <v>8</v>
      </c>
      <c r="H5" s="7" t="s">
        <v>9</v>
      </c>
    </row>
    <row r="6" ht="22.5" customHeight="1">
      <c r="A6" s="8">
        <v>-1.0</v>
      </c>
      <c r="B6" s="8">
        <v>84.0</v>
      </c>
      <c r="C6" s="8">
        <v>101.0</v>
      </c>
      <c r="D6" s="9">
        <f t="shared" ref="D6:D12" si="1">AVERAGE(B6:C6)</f>
        <v>92.5</v>
      </c>
      <c r="E6" s="8">
        <f t="shared" ref="E6:E12" si="2">ROUND(F6*H6,0)</f>
        <v>75</v>
      </c>
      <c r="F6" s="8">
        <f>ROUND(F7 * 0.9,0)</f>
        <v>94</v>
      </c>
      <c r="G6" s="8">
        <f t="shared" ref="G6:G12" si="3">AVERAGE(E6:F6)</f>
        <v>84.5</v>
      </c>
      <c r="H6" s="8">
        <v>0.8</v>
      </c>
    </row>
    <row r="7" ht="22.5" customHeight="1">
      <c r="A7" s="8">
        <v>0.0</v>
      </c>
      <c r="B7" s="8">
        <v>91.0</v>
      </c>
      <c r="C7" s="8">
        <v>108.0</v>
      </c>
      <c r="D7" s="9">
        <f t="shared" si="1"/>
        <v>99.5</v>
      </c>
      <c r="E7" s="8">
        <f t="shared" si="2"/>
        <v>83</v>
      </c>
      <c r="F7" s="8">
        <v>104.0</v>
      </c>
      <c r="G7" s="8">
        <f t="shared" si="3"/>
        <v>93.5</v>
      </c>
      <c r="H7" s="8">
        <v>0.8</v>
      </c>
    </row>
    <row r="8" ht="15.75" customHeight="1">
      <c r="A8" s="8">
        <v>1.0</v>
      </c>
      <c r="B8" s="8">
        <v>101.0</v>
      </c>
      <c r="C8" s="8">
        <v>120.0</v>
      </c>
      <c r="D8" s="9">
        <f t="shared" si="1"/>
        <v>110.5</v>
      </c>
      <c r="E8" s="8">
        <f t="shared" si="2"/>
        <v>91</v>
      </c>
      <c r="F8" s="8">
        <f t="shared" ref="F8:F12" si="4">FLOOR(F7*1.1,1)</f>
        <v>114</v>
      </c>
      <c r="G8" s="8">
        <f t="shared" si="3"/>
        <v>102.5</v>
      </c>
      <c r="H8" s="8">
        <v>0.8</v>
      </c>
      <c r="K8" s="1"/>
    </row>
    <row r="9" ht="22.5" customHeight="1">
      <c r="A9" s="8">
        <v>2.0</v>
      </c>
      <c r="B9" s="8">
        <v>122.0</v>
      </c>
      <c r="C9" s="8">
        <v>133.0</v>
      </c>
      <c r="D9" s="9">
        <f t="shared" si="1"/>
        <v>127.5</v>
      </c>
      <c r="E9" s="8">
        <f t="shared" si="2"/>
        <v>100</v>
      </c>
      <c r="F9" s="8">
        <f t="shared" si="4"/>
        <v>125</v>
      </c>
      <c r="G9" s="8">
        <f t="shared" si="3"/>
        <v>112.5</v>
      </c>
      <c r="H9" s="8">
        <v>0.8</v>
      </c>
    </row>
    <row r="10" ht="16.5" customHeight="1">
      <c r="A10" s="8">
        <v>3.0</v>
      </c>
      <c r="B10" s="8">
        <v>124.0</v>
      </c>
      <c r="C10" s="8">
        <v>148.0</v>
      </c>
      <c r="D10" s="9">
        <f t="shared" si="1"/>
        <v>136</v>
      </c>
      <c r="E10" s="8">
        <f t="shared" si="2"/>
        <v>110</v>
      </c>
      <c r="F10" s="8">
        <f t="shared" si="4"/>
        <v>137</v>
      </c>
      <c r="G10" s="8">
        <f t="shared" si="3"/>
        <v>123.5</v>
      </c>
      <c r="H10" s="8">
        <v>0.8</v>
      </c>
    </row>
    <row r="11" ht="16.5" customHeight="1">
      <c r="A11" s="8">
        <v>4.0</v>
      </c>
      <c r="B11" s="8">
        <v>138.0</v>
      </c>
      <c r="C11" s="8">
        <v>164.0</v>
      </c>
      <c r="D11" s="9">
        <f t="shared" si="1"/>
        <v>151</v>
      </c>
      <c r="E11" s="8">
        <f t="shared" si="2"/>
        <v>120</v>
      </c>
      <c r="F11" s="8">
        <f t="shared" si="4"/>
        <v>150</v>
      </c>
      <c r="G11" s="8">
        <f t="shared" si="3"/>
        <v>135</v>
      </c>
      <c r="H11" s="8">
        <v>0.8</v>
      </c>
    </row>
    <row r="12" ht="22.5" customHeight="1">
      <c r="A12" s="8">
        <v>5.0</v>
      </c>
      <c r="B12" s="8">
        <v>153.0</v>
      </c>
      <c r="C12" s="8">
        <v>182.0</v>
      </c>
      <c r="D12" s="9">
        <f t="shared" si="1"/>
        <v>167.5</v>
      </c>
      <c r="E12" s="8">
        <f t="shared" si="2"/>
        <v>132</v>
      </c>
      <c r="F12" s="8">
        <f t="shared" si="4"/>
        <v>165</v>
      </c>
      <c r="G12" s="8">
        <f t="shared" si="3"/>
        <v>148.5</v>
      </c>
      <c r="H12" s="8">
        <v>0.8</v>
      </c>
    </row>
    <row r="13">
      <c r="A13" s="3"/>
      <c r="B13" s="3"/>
      <c r="C13" s="3"/>
    </row>
    <row r="14">
      <c r="A14" s="3" t="s">
        <v>10</v>
      </c>
      <c r="B14" s="4"/>
      <c r="C14" s="5"/>
    </row>
    <row r="15">
      <c r="A15" s="2" t="s">
        <v>11</v>
      </c>
      <c r="B15" s="2" t="s">
        <v>12</v>
      </c>
      <c r="C15" s="2" t="s">
        <v>13</v>
      </c>
    </row>
    <row r="16">
      <c r="A16" s="13" t="s">
        <v>196</v>
      </c>
      <c r="B16" s="13" t="s">
        <v>48</v>
      </c>
      <c r="C16" s="13" t="s">
        <v>197</v>
      </c>
    </row>
    <row r="18">
      <c r="A18" s="1" t="s">
        <v>160</v>
      </c>
      <c r="B18" s="1" t="s">
        <v>161</v>
      </c>
      <c r="C18" s="1" t="s">
        <v>162</v>
      </c>
      <c r="D18" s="1" t="s">
        <v>163</v>
      </c>
    </row>
    <row r="19">
      <c r="A19" s="33" t="s">
        <v>198</v>
      </c>
      <c r="B19" s="33" t="s">
        <v>199</v>
      </c>
      <c r="C19" s="33" t="s">
        <v>200</v>
      </c>
      <c r="D19" s="21" t="s">
        <v>101</v>
      </c>
    </row>
  </sheetData>
  <mergeCells count="2">
    <mergeCell ref="B3:G3"/>
    <mergeCell ref="A14:C14"/>
  </mergeCells>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25"/>
    <col customWidth="1" min="3" max="3" width="17.75"/>
    <col customWidth="1" min="4" max="4" width="17.25"/>
    <col customWidth="1" min="5" max="5" width="18.13"/>
    <col customWidth="1" min="6" max="6" width="18.63"/>
    <col customWidth="1" min="7" max="7" width="25.88"/>
    <col customWidth="1" min="9" max="9" width="21.13"/>
    <col customWidth="1" min="10" max="10" width="24.5"/>
  </cols>
  <sheetData>
    <row r="1">
      <c r="A1" s="18"/>
      <c r="B1" s="18"/>
      <c r="C1" s="18"/>
      <c r="D1" s="18"/>
      <c r="E1" s="18"/>
      <c r="F1" s="18"/>
      <c r="G1" s="18"/>
      <c r="H1" s="18"/>
    </row>
    <row r="2">
      <c r="A2" s="18"/>
      <c r="B2" s="18" t="s">
        <v>0</v>
      </c>
      <c r="C2" s="18"/>
      <c r="D2" s="18"/>
      <c r="E2" s="18"/>
      <c r="F2" s="18"/>
      <c r="G2" s="18"/>
      <c r="H2" s="18"/>
    </row>
    <row r="3" ht="15.75" customHeight="1">
      <c r="A3" s="42"/>
      <c r="B3" s="43" t="s">
        <v>1</v>
      </c>
      <c r="C3" s="4"/>
      <c r="D3" s="4"/>
      <c r="E3" s="4"/>
      <c r="F3" s="4"/>
      <c r="G3" s="5"/>
      <c r="H3" s="44"/>
    </row>
    <row r="4" ht="15.75" customHeight="1">
      <c r="A4" s="45"/>
      <c r="B4" s="45"/>
      <c r="C4" s="45"/>
      <c r="D4" s="45"/>
      <c r="E4" s="45"/>
      <c r="F4" s="45"/>
      <c r="G4" s="46"/>
      <c r="H4" s="46"/>
    </row>
    <row r="5" ht="15.75" customHeight="1">
      <c r="A5" s="47" t="s">
        <v>2</v>
      </c>
      <c r="B5" s="47" t="s">
        <v>3</v>
      </c>
      <c r="C5" s="47" t="s">
        <v>4</v>
      </c>
      <c r="D5" s="47" t="s">
        <v>5</v>
      </c>
      <c r="E5" s="47" t="s">
        <v>6</v>
      </c>
      <c r="F5" s="47" t="s">
        <v>7</v>
      </c>
      <c r="G5" s="48" t="s">
        <v>8</v>
      </c>
      <c r="H5" s="48" t="s">
        <v>9</v>
      </c>
    </row>
    <row r="6" ht="15.75" customHeight="1">
      <c r="A6" s="49">
        <v>-1.0</v>
      </c>
      <c r="B6" s="50">
        <v>84.0</v>
      </c>
      <c r="C6" s="50">
        <v>117.0</v>
      </c>
      <c r="D6" s="51">
        <f t="shared" ref="D6:D12" si="1">AVERAGE(B6:C6)</f>
        <v>100.5</v>
      </c>
      <c r="E6" s="49">
        <f t="shared" ref="E6:E12" si="2">ROUND(F6*H6,0)</f>
        <v>68</v>
      </c>
      <c r="F6" s="51">
        <f>ROUND(F7 * 0.9,0)</f>
        <v>135</v>
      </c>
      <c r="G6" s="51">
        <f t="shared" ref="G6:G12" si="3">AVERAGE(E6:F6)</f>
        <v>101.5</v>
      </c>
      <c r="H6" s="50">
        <v>0.5</v>
      </c>
    </row>
    <row r="7" ht="15.75" customHeight="1">
      <c r="A7" s="51">
        <v>0.0</v>
      </c>
      <c r="B7" s="50">
        <v>89.0</v>
      </c>
      <c r="C7" s="50">
        <v>124.0</v>
      </c>
      <c r="D7" s="51">
        <f t="shared" si="1"/>
        <v>106.5</v>
      </c>
      <c r="E7" s="49">
        <f t="shared" si="2"/>
        <v>75</v>
      </c>
      <c r="F7" s="50">
        <v>150.0</v>
      </c>
      <c r="G7" s="51">
        <f t="shared" si="3"/>
        <v>112.5</v>
      </c>
      <c r="H7" s="50">
        <v>0.5</v>
      </c>
    </row>
    <row r="8" ht="15.75" customHeight="1">
      <c r="A8" s="51">
        <v>1.0</v>
      </c>
      <c r="B8" s="52">
        <v>93.0</v>
      </c>
      <c r="C8" s="52">
        <v>130.0</v>
      </c>
      <c r="D8" s="51">
        <f t="shared" si="1"/>
        <v>111.5</v>
      </c>
      <c r="E8" s="49">
        <f t="shared" si="2"/>
        <v>83</v>
      </c>
      <c r="F8" s="51">
        <f t="shared" ref="F8:F12" si="4">ROUND(F7*1.1,0)</f>
        <v>165</v>
      </c>
      <c r="G8" s="51">
        <f t="shared" si="3"/>
        <v>124</v>
      </c>
      <c r="H8" s="50">
        <v>0.5</v>
      </c>
      <c r="K8" s="1"/>
    </row>
    <row r="9" ht="15.75" customHeight="1">
      <c r="A9" s="51">
        <v>2.0</v>
      </c>
      <c r="B9" s="52">
        <v>103.0</v>
      </c>
      <c r="C9" s="52">
        <v>144.0</v>
      </c>
      <c r="D9" s="51">
        <f t="shared" si="1"/>
        <v>123.5</v>
      </c>
      <c r="E9" s="49">
        <f t="shared" si="2"/>
        <v>91</v>
      </c>
      <c r="F9" s="51">
        <f t="shared" si="4"/>
        <v>182</v>
      </c>
      <c r="G9" s="51">
        <f t="shared" si="3"/>
        <v>136.5</v>
      </c>
      <c r="H9" s="50">
        <v>0.5</v>
      </c>
    </row>
    <row r="10" ht="15.75" customHeight="1">
      <c r="A10" s="51">
        <v>3.0</v>
      </c>
      <c r="B10" s="52">
        <v>114.0</v>
      </c>
      <c r="C10" s="52">
        <v>160.0</v>
      </c>
      <c r="D10" s="51">
        <f t="shared" si="1"/>
        <v>137</v>
      </c>
      <c r="E10" s="49">
        <f t="shared" si="2"/>
        <v>100</v>
      </c>
      <c r="F10" s="51">
        <f t="shared" si="4"/>
        <v>200</v>
      </c>
      <c r="G10" s="51">
        <f t="shared" si="3"/>
        <v>150</v>
      </c>
      <c r="H10" s="50">
        <v>0.5</v>
      </c>
    </row>
    <row r="11" ht="15.75" customHeight="1">
      <c r="A11" s="51">
        <v>4.0</v>
      </c>
      <c r="B11" s="52">
        <v>127.0</v>
      </c>
      <c r="C11" s="52">
        <v>178.0</v>
      </c>
      <c r="D11" s="51">
        <f t="shared" si="1"/>
        <v>152.5</v>
      </c>
      <c r="E11" s="49">
        <f t="shared" si="2"/>
        <v>110</v>
      </c>
      <c r="F11" s="51">
        <f t="shared" si="4"/>
        <v>220</v>
      </c>
      <c r="G11" s="51">
        <f t="shared" si="3"/>
        <v>165</v>
      </c>
      <c r="H11" s="50">
        <v>0.5</v>
      </c>
    </row>
    <row r="12" ht="15.75" customHeight="1">
      <c r="A12" s="53">
        <v>5.0</v>
      </c>
      <c r="B12" s="54">
        <v>141.0</v>
      </c>
      <c r="C12" s="54">
        <v>198.0</v>
      </c>
      <c r="D12" s="51">
        <f t="shared" si="1"/>
        <v>169.5</v>
      </c>
      <c r="E12" s="49">
        <f t="shared" si="2"/>
        <v>121</v>
      </c>
      <c r="F12" s="51">
        <f t="shared" si="4"/>
        <v>242</v>
      </c>
      <c r="G12" s="51">
        <f t="shared" si="3"/>
        <v>181.5</v>
      </c>
      <c r="H12" s="50">
        <v>0.5</v>
      </c>
    </row>
    <row r="13">
      <c r="A13" s="55"/>
      <c r="B13" s="56"/>
      <c r="C13" s="56"/>
      <c r="D13" s="18"/>
      <c r="E13" s="57"/>
      <c r="F13" s="57"/>
      <c r="G13" s="57"/>
      <c r="H13" s="58"/>
    </row>
    <row r="14">
      <c r="A14" s="59" t="s">
        <v>10</v>
      </c>
      <c r="B14" s="60"/>
      <c r="C14" s="60"/>
    </row>
    <row r="15">
      <c r="A15" s="2" t="s">
        <v>11</v>
      </c>
      <c r="B15" s="2" t="s">
        <v>201</v>
      </c>
      <c r="C15" s="3" t="s">
        <v>202</v>
      </c>
      <c r="D15" s="3" t="s">
        <v>54</v>
      </c>
      <c r="E15" s="2" t="s">
        <v>89</v>
      </c>
    </row>
    <row r="16" ht="109.5" customHeight="1">
      <c r="A16" s="13" t="s">
        <v>27</v>
      </c>
      <c r="B16" s="13" t="s">
        <v>27</v>
      </c>
      <c r="C16" s="13" t="s">
        <v>27</v>
      </c>
      <c r="D16" s="13" t="s">
        <v>27</v>
      </c>
      <c r="E16" s="13" t="s">
        <v>203</v>
      </c>
    </row>
    <row r="18">
      <c r="A18" s="1" t="s">
        <v>160</v>
      </c>
      <c r="B18" s="1" t="s">
        <v>161</v>
      </c>
      <c r="C18" s="1" t="s">
        <v>162</v>
      </c>
      <c r="D18" s="1" t="s">
        <v>163</v>
      </c>
    </row>
    <row r="19">
      <c r="A19" s="33" t="s">
        <v>204</v>
      </c>
      <c r="B19" s="33" t="s">
        <v>205</v>
      </c>
      <c r="C19" s="33" t="s">
        <v>206</v>
      </c>
      <c r="D19" s="21" t="s">
        <v>207</v>
      </c>
    </row>
  </sheetData>
  <mergeCells count="2">
    <mergeCell ref="B3:G3"/>
    <mergeCell ref="A14:C14"/>
  </mergeCells>
  <drawing r:id="rId1"/>
  <tableParts count="1">
    <tablePart r:id="rId3"/>
  </tableParts>
</worksheet>
</file>