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11.xml"/>
  <Override ContentType="application/vnd.ms-excel.documenttasks+xml" PartName="/xl/documenttasks/documenttask5.xml"/>
  <Override ContentType="application/vnd.ms-excel.documenttasks+xml" PartName="/xl/documenttasks/documenttask13.xml"/>
  <Override ContentType="application/vnd.ms-excel.documenttasks+xml" PartName="/xl/documenttasks/documenttask6.xml"/>
  <Override ContentType="application/vnd.ms-excel.documenttasks+xml" PartName="/xl/documenttasks/documenttask1.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12.xml"/>
  <Override ContentType="application/vnd.ms-excel.documenttasks+xml" PartName="/xl/documenttasks/documenttask10.xml"/>
  <Override ContentType="application/vnd.ms-excel.person+xml" PartName="/xl/persons/person.xml"/>
  <Override ContentType="application/vnd.ms-excel.threadedcomments+xml" PartName="/xl/threadedComments/threadedComment10.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12.xml"/>
  <Override ContentType="application/vnd.ms-excel.threadedcomments+xml" PartName="/xl/threadedComments/threadedComment6.xml"/>
  <Override ContentType="application/vnd.ms-excel.threadedcomments+xml" PartName="/xl/threadedComments/threadedComment13.xml"/>
  <Override ContentType="application/vnd.ms-excel.threadedcomments+xml" PartName="/xl/threadedComments/threadedComment2.xml"/>
  <Override ContentType="application/vnd.ms-excel.threadedcomments+xml" PartName="/xl/threadedComments/threadedComment9.xml"/>
  <Override ContentType="application/vnd.ms-excel.threadedcomments+xml" PartName="/xl/threadedComments/threadedComment7.xml"/>
  <Override ContentType="application/vnd.ms-excel.threadedcomments+xml" PartName="/xl/threadedComments/threadedComment11.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8.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er 1 Variant Values" sheetId="1" r:id="rId5"/>
    <sheet state="visible" name="Tier 2 Variant Values" sheetId="2" r:id="rId6"/>
    <sheet state="visible" name="sword" sheetId="3" r:id="rId7"/>
    <sheet state="visible" name="Hammer" sheetId="4" r:id="rId8"/>
    <sheet state="visible" name="1h Axe" sheetId="5" r:id="rId9"/>
    <sheet state="visible" name="Dagger" sheetId="6" r:id="rId10"/>
    <sheet state="visible" name="2h sword" sheetId="7" r:id="rId11"/>
    <sheet state="visible" name="2H Hammer" sheetId="8" r:id="rId12"/>
    <sheet state="visible" name="2H AXE" sheetId="9" r:id="rId13"/>
    <sheet state="visible" name="Spear" sheetId="10" r:id="rId14"/>
    <sheet state="visible" name="War Shield" sheetId="11" r:id="rId15"/>
    <sheet state="visible" name="Claws" sheetId="12" r:id="rId16"/>
    <sheet state="visible" name="Hand crossbow" sheetId="13" r:id="rId17"/>
    <sheet state="visible" name="Crossbow" sheetId="14" r:id="rId18"/>
    <sheet state="visible" name="Pistol" sheetId="15" r:id="rId19"/>
    <sheet state="visible" name="Shortbow" sheetId="16" r:id="rId20"/>
    <sheet state="visible" name="Longbow" sheetId="17" r:id="rId21"/>
    <sheet state="visible" name="Rifle" sheetId="18" r:id="rId22"/>
    <sheet state="visible" name="Cannon" sheetId="19" r:id="rId23"/>
    <sheet state="visible" name="Boomerang" sheetId="20" r:id="rId24"/>
    <sheet state="visible" name="Wand" sheetId="21" r:id="rId25"/>
    <sheet state="visible" name="Scepter" sheetId="22" r:id="rId26"/>
    <sheet state="visible" name="Tome of Secrets" sheetId="23" r:id="rId27"/>
    <sheet state="visible" name="Magic orb" sheetId="24" r:id="rId28"/>
    <sheet state="visible" name="power staff" sheetId="25" r:id="rId29"/>
    <sheet state="visible" name="druid staff" sheetId="26" r:id="rId30"/>
    <sheet state="visible" name="Gauntlet" sheetId="27" r:id="rId31"/>
    <sheet state="visible" name="Sacred Flower" sheetId="28" r:id="rId3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tc={0529f316-382a-461f-8176-cf5cd1f3e99f}</author>
  </authors>
  <commentList>
    <comment authorId="0" xr:uid="{0529f316-382a-461f-8176-cf5cd1f3e99f}" ref="A18">
      <text>
        <t xml:space="preserve">[Threaded comment]
 Your version of Excel allows you to read this threaded comment; however, any edits to it will get removed if the file is opened in a newer version of Excel. Learn more: https://go.microsoft.com/fwlink/?linkid=870924
Comment:
	This feels like it makes the hammer a ranged weapon
Reply:
	Why? do you mean the +1 use on the skill 2?
Reply:
	yes, moving from skill 1 into 2, also skill 2 is already quite strong, I think maybe skill 3 could have something to help with killing those enemies, like  2 turn armor or resistance debuff alongside the stun
Reply:
	Okay, that's fair, I'm reverting the skill use changes. 
Skill 3 is mostly about stun, so it doesn't need help killing the side tiles though.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tc={3b93df5d-bc29-47e7-b597-33499a859c06}</author>
  </authors>
  <commentList>
    <comment authorId="0" xr:uid="{3b93df5d-bc29-47e7-b597-33499a859c06}" ref="D18">
      <text>
        <t xml:space="preserve">[Threaded comment]
 Your version of Excel allows you to read this threaded comment; however, any edits to it will get removed if the file is opened in a newer version of Excel. Learn more: https://go.microsoft.com/fwlink/?linkid=870924
Comment:
	not sure if this is enough to make it feel good?
at least make skill 1 able to target ground
Reply:
	I think it should be enough
Maybe skill 2 should also get more base momentum, but 2h sword is already pretty close to being good.
I'm not sure if it's possible to make 2h sword ground targetable but it's worth looking into
Reply:
	the movement cost on skill 4 is my biggest criticism of 2h sword, so this is a change I agree with
Reply:
	it does feel bad, since it's hard to position, adn you already pay for momentum with movement, and if you're short you have to use skill 1 which makes skill 4 do less damage (if you kill)
Reply:
	Skill 1 doesn't change the damage of skill 4? And why would killing with it matter?
Reply:
	what I meant is if you end up in a place where you don't have enough movement for skill 4, and need to use skill 1 to get the movement, and kill enemies you wanted to target with skill 4, it feels bad
Reply:
	And that will happen less if skill 4 doesn't cost movement?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tc={06b17c7d-be2c-43d5-9d54-aaaf5dff3efb}</author>
  </authors>
  <commentList>
    <comment authorId="0" xr:uid="{06b17c7d-be2c-43d5-9d54-aaaf5dff3efb}" ref="B15">
      <text>
        <t xml:space="preserve">[Threaded comment]
 Your version of Excel allows you to read this threaded comment; however, any edits to it will get removed if the file is opened in a newer version of Excel. Learn more: https://go.microsoft.com/fwlink/?linkid=870924
Comment:
	I'd also make it apply the debuff to the main target tile
Reply:
	Sure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tc={39584f83-f899-4026-83fb-e04f382c9d1b}</author>
  </authors>
  <commentList>
    <comment authorId="0" xr:uid="{39584f83-f899-4026-83fb-e04f382c9d1b}" ref="A18">
      <text>
        <t xml:space="preserve">[Threaded comment]
 Your version of Excel allows you to read this threaded comment; however, any edits to it will get removed if the file is opened in a newer version of Excel. Learn more: https://go.microsoft.com/fwlink/?linkid=870924
Comment:
	I don't think this would be very helpful.
Maybe a x3 multihit (and slightly lower damage) with range 1-2 non-modifiable?
probably would need to change skill 3 away from multihit tho, like a cardinal spear throw with higher range, and maybe secondary damage on the sides (or debuff)
Reply:
	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
Reply:
	that is fine, but it could be more balanced on a melee weapon.
The idea is that it is starting to look like great axe with different shape, and I think great age works better since you can stay in the middle of the wave, where as with the spear it could be better from the side?
Reply:
	Yeah, the damage, positioning, amount of tiles, and accuracy is still different so i think it's different enough.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tc={20ae11e6-0dc0-445d-9253-32a3d8c3f9df}</author>
    <author>tc={cabfcbf4-98d4-46c4-adde-dba8ecea9e2c}</author>
  </authors>
  <commentList>
    <comment authorId="0" xr:uid="{20ae11e6-0dc0-445d-9253-32a3d8c3f9df}" ref="C22">
      <text>
        <t xml:space="preserve">[Threaded comment]
 Your version of Excel allows you to read this threaded comment; however, any edits to it will get removed if the file is opened in a newer version of Excel. Learn more: https://go.microsoft.com/fwlink/?linkid=870924
Comment:
	could make the steel grant block and this one give movement, since it's light and you like to position yourself with it
Reply:
	That's an option, although few weapons make sense with +armor, so i wanted war shield to have it.
Reply:
	It would make most sense to be on shield, but I would still prefer to keep armor on my armor.
also is the amount at tier 5? because it might not be that great, is tier 5 supposed to block an attack or half from a regular clawer?
Reply:
	No, we start calculating from tier 0
</t>
      </text>
    </comment>
    <comment authorId="1" xr:uid="{cabfcbf4-98d4-46c4-adde-dba8ecea9e2c}" ref="B18">
      <text>
        <t xml:space="preserve">[Threaded comment]
 Your version of Excel allows you to read this threaded comment; however, any edits to it will get removed if the file is opened in a newer version of Excel. Learn more: https://go.microsoft.com/fwlink/?linkid=870924
Comment:
	I'm not sure about the -dodge if it's really necessary.
would be possible to increase the skills damage by block amount?
Reply:
	I think it's worthwhile if we're removing base stat penalties from weapons, but tbh yes, it's not needed and we can just keep the -flat dodge. I don't think it's possible to increase the skills damage by the block amount, the perk already kind of does something like that anyway.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tc={ab9975ce-65fc-419f-a224-72479b159019}</author>
    <author>tc={f9f16a61-408d-400b-9164-c1e585eefe06}</author>
  </authors>
  <commentList>
    <comment authorId="0" xr:uid="{ab9975ce-65fc-419f-a224-72479b159019}" ref="B17">
      <text>
        <t xml:space="preserve">[Threaded comment]
 Your version of Excel allows you to read this threaded comment; however, any edits to it will get removed if the file is opened in a newer version of Excel. Learn more: https://go.microsoft.com/fwlink/?linkid=870924
Comment:
	how about -1 movement instead of mana for 2 multihits and 3 uses?
or start the ability with 2 multihit and higher multiplayer on lowe item tier and 3 multihit with lower multiplayer on higher tier?
I don't think there is a very clean way for 1 ap multihit
Reply:
	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
Reply:
	I think manaless but no opp would be better, it feels weird for a non magic weapon to use mana on skill 2
but yeah, 2 uses is the important balancing aspect
Reply:
	yeah, I can see that, it might also be that it looks like it doesn't know what to do since it can use any stat, maybe it should just focus on doing 1 thing instead of being able to do everything?
Reply:
	That's why i tried to give it opp, to focus more on the debuff/poison
But I've removed opp and mana cost, and gave opp to blaze instead.
</t>
      </text>
    </comment>
    <comment authorId="1" xr:uid="{f9f16a61-408d-400b-9164-c1e585eefe06}" ref="A17">
      <text>
        <t xml:space="preserve">[Threaded comment]
 Your version of Excel allows you to read this threaded comment; however, any edits to it will get removed if the file is opened in a newer version of Excel. Learn more: https://go.microsoft.com/fwlink/?linkid=870924
Comment:
	I don't think dealing damage and applying poison at the same time makes too much sense
Reply:
	Why not? Orb does it, Sacred flower does it, bee sting does it.
Reply:
	Also dagger skill 3 does it
Reply:
	yeah, it makes the skills a little worse than if they just do poison, because the poison doesn't get applied if the enemy dies or dodges, but that's just a balancing factor
And Hand crossbow doesn't need skills that ignore even more defensive stats
Reply:
	I think the skill will remain fine, keeping it unchanged for now.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tc={48504bb7-1fae-4924-8e4f-b69744ea5180}</author>
  </authors>
  <commentList>
    <comment authorId="0" xr:uid="{48504bb7-1fae-4924-8e4f-b69744ea5180}" ref="A18">
      <text>
        <t xml:space="preserve">[Threaded comment]
 Your version of Excel allows you to read this threaded comment; however, any edits to it will get removed if the file is opened in a newer version of Excel. Learn more: https://go.microsoft.com/fwlink/?linkid=870924
Comment:
	I kinda liked the old one, not a fan of these changes
Reply:
	I can revert the skill 2 and 4 changes but I do think the -res debuff should go to the hammer, not crossbow
Reply:
	I almost think that crossbow just doesn't need any debuffs. Debuffs and using opportunism doesn't need to be something that every single weapon can do?
Reply:
	It does not need it, but since i want to put the -res on hammer i do think it could use something
It's generally fun if skills 1 and 2 have some spice.  I can always just increase the base damage of it further instead.
Reply:
	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
Reply:
	Reverted the Skill 2 changes. As for skill 4, you have edit rights, so draw the aoe you're talking about. Though I'm not a fan of yet another grapeshot blast shape, we already have 3 of these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tc={9d6420aa-1764-4cf9-9d87-e8def7eb31ad}</author>
  </authors>
  <commentList>
    <comment authorId="0" xr:uid="{9d6420aa-1764-4cf9-9d87-e8def7eb31ad}" ref="C16">
      <text>
        <t xml:space="preserve">[Threaded comment]
 Your version of Excel allows you to read this threaded comment; however, any edits to it will get removed if the file is opened in a newer version of Excel. Learn more: https://go.microsoft.com/fwlink/?linkid=870924
Comment:
	I feel like it might need more damage, unless base damage already covers that, but pistol always felt weak for me
Reply:
	I think the base damage covers that well enough. It's one of the better skill 3s anyway.
Reply:
	grape shot is a very good skill, a base damage increase would improve it early and then late game it becomes great with proximity shot
Reply:
	yeah, I don't play with many "ranged" perks, since they tend to be ranged damage specific and kinda weird overall, the other perks are definitely more universal
Reply:
	Proximity shot is the only one that's ranged damage specific, and it's a very very good perk
Reply:
	maybe it's just me who likes to kill enemies at range with ranged damage instead of in melee :p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tc={737ca001-ca78-45a7-acc2-cfebd2af34be}</author>
  </authors>
  <commentList>
    <comment authorId="0" xr:uid="{737ca001-ca78-45a7-acc2-cfebd2af34be}" ref="A16">
      <text>
        <t xml:space="preserve">[Threaded comment]
 Your version of Excel allows you to read this threaded comment; however, any edits to it will get removed if the file is opened in a newer version of Excel. Learn more: https://go.microsoft.com/fwlink/?linkid=870924
Comment:
	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
Reply:
	Long bow already has snipe shot for picking enemies off, and shortbow's skill 4 is literally about creating isolated targets. Giving shortbow arctic blast would also mean it has skill 3 and 4 that basically do the same thing, which is lame.
Reply:
	but short bow can't pick enemies off since it has short range, that is why longbow is good at picking off stragglers, also you want to debuff a group of enemies to stop the from advancing so it would make sense to have shortbow have opportunism to finish those enemies off
Reply:
	Shortbow has 8 base range, that is not low. It also has only 1 use of a debuff skill compared to longbow's 4.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tc={0c0c036b-227a-4c91-b7ca-d3fd655084b8}</author>
    <author>tc={22475e90-fba5-43d4-8666-ea4f5d19e7aa}</author>
    <author>tc={425cb8b1-24ad-4bf8-bbce-c6e715d1605d}</author>
    <author>tc={50fa229a-069b-4e6d-a846-9be291447939}</author>
  </authors>
  <commentList>
    <comment authorId="0" xr:uid="{0c0c036b-227a-4c91-b7ca-d3fd655084b8}" ref="D16">
      <text>
        <t xml:space="preserve">[Threaded comment]
 Your version of Excel allows you to read this threaded comment; however, any edits to it will get removed if the file is opened in a newer version of Excel. Learn more: https://go.microsoft.com/fwlink/?linkid=870924
Comment:
	I would keep it at 1 use and high cost, just make sure it kills whatever it targets, with high damage, I would even say it should have high damage multiplayer and like 80-90% isolation + opportunitism effectiveness
Reply:
	Keeping it 2 ap and 1 use Makes it far, far worse than the scroll variant. I intend to rework it into a high-effort, more costly but also a lot more damaging snipe shot, and making it 2 ap would just make it worse than snipe shot.
Reply:
	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
Reply:
	What do you mean prickle shot? It's a pretty major damage buff compared to what we had previously.
I think setting up assassination is pretty thematic personally, and that's where the heaviness can come from.
</t>
      </text>
    </comment>
    <comment authorId="1" xr:uid="{22475e90-fba5-43d4-8666-ea4f5d19e7aa}" ref="C16">
      <text>
        <t xml:space="preserve">[Threaded comment]
 Your version of Excel allows you to read this threaded comment; however, any edits to it will get removed if the file is opened in a newer version of Excel. Learn more: https://go.microsoft.com/fwlink/?linkid=870924
Comment:
	I think it could reduce armor or resistance as well as move instead of extra damage
Reply:
	This is only to compensate for the damage nerf really, I think the skill itself is fine. 10 targets is a lot.
</t>
      </text>
    </comment>
    <comment authorId="2" xr:uid="{425cb8b1-24ad-4bf8-bbce-c6e715d1605d}" ref="A16">
      <text>
        <t xml:space="preserve">[Threaded comment]
 Your version of Excel allows you to read this threaded comment; however, any edits to it will get removed if the file is opened in a newer version of Excel. Learn more: https://go.microsoft.com/fwlink/?linkid=870924
Comment:
	is this also instead of the new propagation?
I think undogeable makes sense since it's a high cost skill, maybe secondary targets for damage or debuff (armor/dodge/resistance)?
Reply:
	No, it's with the new propagation, and the assumption that it loses the -prop damage debuff
I removed undodgeable to put it on assassinate, as it really needs it
I think armor piercing is a stronger modifier than undodgeable, especially for this skill
</t>
      </text>
    </comment>
    <comment authorId="3" xr:uid="{50fa229a-069b-4e6d-a846-9be291447939}" ref="B16">
      <text>
        <t xml:space="preserve">[Threaded comment]
 Your version of Excel allows you to read this threaded comment; however, any edits to it will get removed if the file is opened in a newer version of Excel. Learn more: https://go.microsoft.com/fwlink/?linkid=870924
Comment:
	I think the opportunism fits here
Reply:
	Maybe, but i put opportunism on assassinate instead. This is basically a strict buff, since 0.7 * 1.25 = 0.875
Reply:
	it can't have 2 sources of opportunitism like power staff?
Reply:
	Power staff has 1 opp skill, only skill 3
It can have 2 anyway but I think it'll feel better with only 1.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tc={e64fc316-503d-46b3-8c2d-b4e2d189b055}</author>
  </authors>
  <commentList>
    <comment authorId="0" xr:uid="{e64fc316-503d-46b3-8c2d-b4e2d189b055}" ref="D17">
      <text>
        <t xml:space="preserve">[Threaded comment]
 Your version of Excel allows you to read this threaded comment; however, any edits to it will get removed if the file is opened in a newer version of Excel. Learn more: https://go.microsoft.com/fwlink/?linkid=870924
Comment:
	don't understand/unfinished
what if you removed damage from all skills, and have the perk deal damage to all stunned targets within range at the end of turn (when the boomerang  comes back)?
Reply:
	My bad, was meant to be "After the hero stuns 3 enemies, boomerang's side tiles become main tiles"
I want to get rid of the ricochet entirely because it makes it feel like it plays the game for you. Removing damage from all skills would double down on that feeling.
Reply:
	so you would have to use skill 1 before using skills 2 and 3 (if it's only 1 use that would be horrible?)
I don't know, doesn't sound exciting.
Also you remove multihit and propagation and not add anything, sounds weak.
Reply:
	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tc={a223575b-0eaf-4a2e-ae85-d66ee93b913a}</author>
  </authors>
  <commentList>
    <comment authorId="0" xr:uid="{a223575b-0eaf-4a2e-ae85-d66ee93b913a}" ref="B18">
      <text>
        <t xml:space="preserve">[Threaded comment]
 Your version of Excel allows you to read this threaded comment; however, any edits to it will get removed if the file is opened in a newer version of Excel. Learn more: https://go.microsoft.com/fwlink/?linkid=870924
Comment:
	I would just make the buff skill have higher range, increase momentum and scale movement 2/3/4/5
Reply:
	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
</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tc={024fe04a-ca8b-416a-91a1-7a799dace23d}</author>
  </authors>
  <commentList>
    <comment authorId="0" xr:uid="{024fe04a-ca8b-416a-91a1-7a799dace23d}" ref="D16">
      <text>
        <t xml:space="preserve">[Threaded comment]
 Your version of Excel allows you to read this threaded comment; however, any edits to it will get removed if the file is opened in a newer version of Excel. Learn more: https://go.microsoft.com/fwlink/?linkid=870924
Comment:
	not sure the change to skill 3 is enough maybe it should deal damage to the center tile,
still feels like skill 4 is too strong, and anti synergistic by dealing damage and applying poison
Reply:
	The skill 3 debuff is underrated, as demonstrated already by longbow's skill 2, it was just too expensive
I think bee sting is fine, Why do you think applying damage and poison is anti-synergistic? it's perfectly fine.
Reply:
	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
Reply:
	That's less anti-synergy and more just normal lack of synergy. Some damage can get wasted but it's not harmful. Not every enemy has armor. It's also just common enough to not be a big deal.
</t>
      </text>
    </comment>
  </commentList>
</comments>
</file>

<file path=xl/sharedStrings.xml><?xml version="1.0" encoding="utf-8"?>
<sst xmlns="http://schemas.openxmlformats.org/spreadsheetml/2006/main" count="812" uniqueCount="204">
  <si>
    <t>These are the weapon variant values for Tier 1 weapon variants, so Steel, Silver, Journeyman's and Adepts</t>
  </si>
  <si>
    <t>Level</t>
  </si>
  <si>
    <t>Momentum</t>
  </si>
  <si>
    <t>Physical Damage</t>
  </si>
  <si>
    <t>Ranged Damage</t>
  </si>
  <si>
    <t>Magic Damage</t>
  </si>
  <si>
    <t>Stun Chance</t>
  </si>
  <si>
    <t>Mana;Mana Regen</t>
  </si>
  <si>
    <t>Health;Health Regen</t>
  </si>
  <si>
    <t>Reliability</t>
  </si>
  <si>
    <t>Opportunism</t>
  </si>
  <si>
    <t>Isolation</t>
  </si>
  <si>
    <t>Resistance Reduction</t>
  </si>
  <si>
    <t>Accuracy</t>
  </si>
  <si>
    <t>Block</t>
  </si>
  <si>
    <t>Critical</t>
  </si>
  <si>
    <t>Critical Power</t>
  </si>
  <si>
    <t>Poison Damage</t>
  </si>
  <si>
    <t>XP gain</t>
  </si>
  <si>
    <t>7;2</t>
  </si>
  <si>
    <t>40;8</t>
  </si>
  <si>
    <t>8;2</t>
  </si>
  <si>
    <t>48;9</t>
  </si>
  <si>
    <t>9;3</t>
  </si>
  <si>
    <t>56;10</t>
  </si>
  <si>
    <t>11;3</t>
  </si>
  <si>
    <t>64;12</t>
  </si>
  <si>
    <t>13;4</t>
  </si>
  <si>
    <t>72;14</t>
  </si>
  <si>
    <t>15;4</t>
  </si>
  <si>
    <t>80;16</t>
  </si>
  <si>
    <t>These are the weapon variant values for Tier 2 weapon variants, so Mythril, Adamantium, Masters and Archmasters</t>
  </si>
  <si>
    <t>Propagation Bounces</t>
  </si>
  <si>
    <t>Propagation Damage</t>
  </si>
  <si>
    <t>Move Points;Dodge</t>
  </si>
  <si>
    <t>Skill Range</t>
  </si>
  <si>
    <t>Armor;Resistance</t>
  </si>
  <si>
    <t>1;6</t>
  </si>
  <si>
    <t>35;5</t>
  </si>
  <si>
    <t>12;4</t>
  </si>
  <si>
    <t>50;16</t>
  </si>
  <si>
    <t>1;7</t>
  </si>
  <si>
    <t>42;6</t>
  </si>
  <si>
    <t>14;4</t>
  </si>
  <si>
    <t>60;19</t>
  </si>
  <si>
    <t>1;8</t>
  </si>
  <si>
    <t>50;7</t>
  </si>
  <si>
    <t>16;5</t>
  </si>
  <si>
    <t>70;22</t>
  </si>
  <si>
    <t>2;9</t>
  </si>
  <si>
    <t>57;8</t>
  </si>
  <si>
    <t>18;6</t>
  </si>
  <si>
    <t>80;25</t>
  </si>
  <si>
    <t>2;10</t>
  </si>
  <si>
    <t>63;9</t>
  </si>
  <si>
    <t>21;7</t>
  </si>
  <si>
    <t>90;28</t>
  </si>
  <si>
    <t>2;12</t>
  </si>
  <si>
    <t>70;10</t>
  </si>
  <si>
    <t>24;8</t>
  </si>
  <si>
    <t>100;32</t>
  </si>
  <si>
    <t>Note: Normal variants use levels 0 to 5, wooden/novice/rusty variants use levels -1 to 4</t>
  </si>
  <si>
    <t>Damage Changes</t>
  </si>
  <si>
    <t>old min damage</t>
  </si>
  <si>
    <t>old max damage</t>
  </si>
  <si>
    <t>old avg damage</t>
  </si>
  <si>
    <t>new min damage</t>
  </si>
  <si>
    <t>new max damage</t>
  </si>
  <si>
    <t>new avg damage (baseline)</t>
  </si>
  <si>
    <t>spread</t>
  </si>
  <si>
    <t>Skill Changes</t>
  </si>
  <si>
    <t>Skill 1</t>
  </si>
  <si>
    <t>Skill 2</t>
  </si>
  <si>
    <t>Skill 3</t>
  </si>
  <si>
    <t xml:space="preserve"> +5% base momentum</t>
  </si>
  <si>
    <t xml:space="preserve"> +1 range, dmg mod to 1.7x from 1.6x</t>
  </si>
  <si>
    <t>-1 mana cost, +1 range, dmg mod to 1.7x from 1.6x</t>
  </si>
  <si>
    <t>Variants:</t>
  </si>
  <si>
    <t>Steel</t>
  </si>
  <si>
    <t>silver</t>
  </si>
  <si>
    <t>mythril</t>
  </si>
  <si>
    <t>adamantium</t>
  </si>
  <si>
    <t>Move points;Dodge</t>
  </si>
  <si>
    <t>now aplies -15% resistance debuff for 1 turn</t>
  </si>
  <si>
    <t xml:space="preserve"> +1 use</t>
  </si>
  <si>
    <t>Increase stun chance to 125 on the main tile</t>
  </si>
  <si>
    <t>Variants</t>
  </si>
  <si>
    <t>No changes</t>
  </si>
  <si>
    <t>Now has a 3x3 aoe, centered around the bottom-center tile</t>
  </si>
  <si>
    <t>dmg mod to 1.6x from 1.4x</t>
  </si>
  <si>
    <t>New skill 2 aoe</t>
  </si>
  <si>
    <t>Base stat penalties/bonuses</t>
  </si>
  <si>
    <t>Refreshes +2 move points</t>
  </si>
  <si>
    <t>dmg mod to 1.6x</t>
  </si>
  <si>
    <t>no changes</t>
  </si>
  <si>
    <t>Remove them</t>
  </si>
  <si>
    <t>Skill 4</t>
  </si>
  <si>
    <t xml:space="preserve"> +1 move restore</t>
  </si>
  <si>
    <t xml:space="preserve"> +5 base momentum</t>
  </si>
  <si>
    <t xml:space="preserve"> +5 base momentum, Remove movement cost, increase mana cost to 3</t>
  </si>
  <si>
    <t>Resistance reduction</t>
  </si>
  <si>
    <t>Physical damage</t>
  </si>
  <si>
    <t xml:space="preserve"> +1 use, +1 base prop bounce</t>
  </si>
  <si>
    <t>opportunism</t>
  </si>
  <si>
    <t>stun chance</t>
  </si>
  <si>
    <t>propagation damage</t>
  </si>
  <si>
    <t xml:space="preserve">Now gives   -12/11/12/13/14/18 dodge debuff to ALL tiles for 2 turns instead of -2 move points for 1 turn to secondary tiles </t>
  </si>
  <si>
    <t>accuracy</t>
  </si>
  <si>
    <t>reliability</t>
  </si>
  <si>
    <t>critical</t>
  </si>
  <si>
    <t>new skill 1 aoe</t>
  </si>
  <si>
    <t>Added a 4th primary tile</t>
  </si>
  <si>
    <t>dmg mod to 1.15x</t>
  </si>
  <si>
    <t>physical damage</t>
  </si>
  <si>
    <t>momentum</t>
  </si>
  <si>
    <t>New Skill 3 aoe:</t>
  </si>
  <si>
    <t>Perk:</t>
  </si>
  <si>
    <t>Damage modifier to 1.2x, block buff to 10-15 for 1 turn</t>
  </si>
  <si>
    <t>-1 use per turn, New AOE, main tile damage mod to 1.1x, side tile damage mod to 0.55, debuff to -50% damage for 1 turn</t>
  </si>
  <si>
    <t>damage modifier to 1.45x, Mana cost to 5</t>
  </si>
  <si>
    <t>Damage bonus when getting hit increased to 12% from 8%, decreased maximum bonus to 60%</t>
  </si>
  <si>
    <t>-20% dodge from -10%</t>
  </si>
  <si>
    <t>block</t>
  </si>
  <si>
    <t>resistance reduction</t>
  </si>
  <si>
    <t>Perk</t>
  </si>
  <si>
    <t>Physical damage buff to 10-15% from 8-12%</t>
  </si>
  <si>
    <t>DMG mod to 1.5x from 0.8x, no longer has isolation multiplier 1.5x</t>
  </si>
  <si>
    <t>Dmg mod to 1.8x from 1.6x</t>
  </si>
  <si>
    <t>Decrease the damage penalty to -35%, decrease the amount of isolated hits needed to activate the perk to 2</t>
  </si>
  <si>
    <t>CriticalPower</t>
  </si>
  <si>
    <t>isolation</t>
  </si>
  <si>
    <t>Reworked to: a skill: Slow death, 1ap, deals base damage and inflicts 50 additional poison for 2 turns. 4 uses per turn</t>
  </si>
  <si>
    <t>Reworked to: Quickshot: 2 ap, 4 multihits
2 uses, inaccurate 2x, 1.15x damage modifier</t>
  </si>
  <si>
    <t>poison damage</t>
  </si>
  <si>
    <t>Replaced resistance debuff with -1 movement debuff, -1 use</t>
  </si>
  <si>
    <t xml:space="preserve"> +1 use  </t>
  </si>
  <si>
    <t>steel</t>
  </si>
  <si>
    <t>ranged damage</t>
  </si>
  <si>
    <t>Base</t>
  </si>
  <si>
    <t>Base momentum to 25 from 20</t>
  </si>
  <si>
    <t>base dmg mod to 1.35x, Increased isolation modifier to 1.5x</t>
  </si>
  <si>
    <t>Dmg mod to 1.45x from 1.35x</t>
  </si>
  <si>
    <t>Removed the +15% crit damage modifier</t>
  </si>
  <si>
    <t>added isolation modifier 1.35x</t>
  </si>
  <si>
    <t xml:space="preserve"> -1 skill range, now has armor piercing, damage mod to 1.65x</t>
  </si>
  <si>
    <t>damage mod to 1.15x</t>
  </si>
  <si>
    <t>damage mod increased to 1.85x</t>
  </si>
  <si>
    <t>xp gain</t>
  </si>
  <si>
    <t>skill range</t>
  </si>
  <si>
    <t>Remove isolation multiplier, add 1.25x opportunist multiplier, -2 range, -1 use</t>
  </si>
  <si>
    <t>Effect changed to: -20/22/24/26/28/30 dodge, - 40-60 block, Purge all buffs, -2 range</t>
  </si>
  <si>
    <t>-2 range</t>
  </si>
  <si>
    <t>-2 range, +1 mana cost</t>
  </si>
  <si>
    <t>Remove the -10% reliability</t>
  </si>
  <si>
    <t>Switches with skill 2, Dmg mod to 0.8x, gains propagation x3, Range to 1-5</t>
  </si>
  <si>
    <t>switches places with skill 1, Dmg mod to 1.0x, no longer has opportunism multiplier</t>
  </si>
  <si>
    <t>DMG mod to 0.3x from 0.2x</t>
  </si>
  <si>
    <t>Reworked to: 2 uses, 1 ap 2 mana, 2 move points, damage mod: 1.25x, 1.5x isolation multiplier, 1.5x opportunism multiplier.</t>
  </si>
  <si>
    <t>Remove the -1 move speed penalty</t>
  </si>
  <si>
    <t>propagation bounces</t>
  </si>
  <si>
    <t>Reworked to: 2 uses per turn, 1 ap 2 mana, damage mod 1,15x, No longer deals damage on side tiles, the main tile now gets momentum 20% and no longer stuns</t>
  </si>
  <si>
    <t>Damage mod increased to 1.0x</t>
  </si>
  <si>
    <t xml:space="preserve">Increased fireblast damage from 82-130 to 225-225 and it scales with hero level BUT
- The base hp cost gets increased to 9, hp per point decreased to 1
- Using the fire blast sets heat to 0
- Decreased Cooldown per turn to 4
</t>
  </si>
  <si>
    <t>Reworked to: 1 ap non-multihit skill with 70% base stun chance. 5 uses</t>
  </si>
  <si>
    <t>New AOE, costs 2 mana, main damage modifier to 1.35x, Removed stun and added a 30/32/34/36/38/40% accuracy debuff on the main tile and 15/17/19/21/23/25 accuracy debuff on the secondary tile</t>
  </si>
  <si>
    <t>Damage mod to 1.5x, Costs 5 mana, main tiles also have a chance to stun for 60%</t>
  </si>
  <si>
    <t>Reworked to: Strong throw: After the hero Damages 4 enemies boomerang skills, for the next boomerang's skill, side tiles become main tiles, precision targeting gets 3 propagation</t>
  </si>
  <si>
    <t>Skill 2 AOE</t>
  </si>
  <si>
    <t>Now grants a 7% damage buff that lasts 1 turn</t>
  </si>
  <si>
    <t>No longer grants a damage buff, purges all debuffs from target</t>
  </si>
  <si>
    <t>dmg mod to 0.8x from 0.85x, 5 base multihits</t>
  </si>
  <si>
    <t>Journeyman</t>
  </si>
  <si>
    <t>Adept</t>
  </si>
  <si>
    <t>Master's</t>
  </si>
  <si>
    <t>Archmaster's</t>
  </si>
  <si>
    <t>Base momentum increased to 35</t>
  </si>
  <si>
    <t xml:space="preserve">Reworked to shocking touch: 2 uses, melee range, 1.2x damage mod, 1 ap 1 mana cost, refreshes 4 move points, debuffs accuracy by 10/11/12/13/14/15% </t>
  </si>
  <si>
    <t xml:space="preserve">Stun chance increased to 70% </t>
  </si>
  <si>
    <t>variants</t>
  </si>
  <si>
    <t>Skill 2 aoe</t>
  </si>
  <si>
    <t>-2 prop bounces</t>
  </si>
  <si>
    <t>DMG mod to 1.35x from 1.3x</t>
  </si>
  <si>
    <t>DMG mod to 1.6x from 1.4x, -1 prop bounce</t>
  </si>
  <si>
    <t>magic damage</t>
  </si>
  <si>
    <t>Base Health penalty</t>
  </si>
  <si>
    <t>Now also grants +12% poison damage for 1 turn</t>
  </si>
  <si>
    <t>Remove it</t>
  </si>
  <si>
    <t xml:space="preserve">Mana;Mana Regen
</t>
  </si>
  <si>
    <t>DMG mod to 1.1 from 1.2x</t>
  </si>
  <si>
    <t xml:space="preserve">Move Points;Dodge
</t>
  </si>
  <si>
    <t>Skill 2 (entangle)</t>
  </si>
  <si>
    <t>Skill 3 (acid spray)</t>
  </si>
  <si>
    <t>-1 mana cost. Effect changed to: -20/22/24/26/28/30 dodge, - 40-60 block, Purge all buffs</t>
  </si>
  <si>
    <t>Poison damage to 35 from 30</t>
  </si>
  <si>
    <t>Mana;Mana regen</t>
  </si>
  <si>
    <t xml:space="preserve">opportunism
</t>
  </si>
  <si>
    <t>opportunist multiplier decreased to 1.4x from 1.6x</t>
  </si>
  <si>
    <t>Increase damage mod from 1.25x to 1.7x</t>
  </si>
  <si>
    <t xml:space="preserve">Skill 2 </t>
  </si>
  <si>
    <t xml:space="preserve">Skill 3 </t>
  </si>
  <si>
    <t>No longer poisons the main tile, but has momentum 20</t>
  </si>
  <si>
    <t>Costs 2 ap 1 mana, dmg mod to 1.7 from 1.3, deals 0.3 damage on side tiles and applies 100% stun chance</t>
  </si>
  <si>
    <t>Now purges all removable statuses instead of just buffs</t>
  </si>
  <si>
    <t>Decrease the plague poison scaling from 3 +1 per 3 hero levels to 3 + 1 per 4 hero levels</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</si>
</sst>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color theme="1"/>
      <name val="Arial"/>
      <scheme val="minor"/>
    </font>
    <font/>
    <font>
      <color rgb="FFFF0000"/>
      <name val="Arial"/>
      <scheme val="minor"/>
    </font>
    <font>
      <color theme="1"/>
      <name val="Arial"/>
    </font>
    <font>
      <color rgb="FFFF0000"/>
      <name val="Arial"/>
    </font>
    <font>
      <b/>
      <color theme="1"/>
      <name val="Arial"/>
      <scheme val="minor"/>
    </font>
  </fonts>
  <fills count="7">
    <fill>
      <patternFill patternType="none"/>
    </fill>
    <fill>
      <patternFill patternType="lightGray"/>
    </fill>
    <fill>
      <patternFill patternType="solid">
        <fgColor rgb="FFFF0000"/>
        <bgColor rgb="FFFF0000"/>
      </patternFill>
    </fill>
    <fill>
      <patternFill patternType="solid">
        <fgColor rgb="FFFFFFFF"/>
        <bgColor rgb="FFFFFFFF"/>
      </patternFill>
    </fill>
    <fill>
      <patternFill patternType="solid">
        <fgColor rgb="FF4A86E8"/>
        <bgColor rgb="FF4A86E8"/>
      </patternFill>
    </fill>
    <fill>
      <patternFill patternType="solid">
        <fgColor rgb="FF00FF00"/>
        <bgColor rgb="FF00FF00"/>
      </patternFill>
    </fill>
    <fill>
      <patternFill patternType="solid">
        <fgColor rgb="FF00FFFF"/>
        <bgColor rgb="FF00FFFF"/>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rder>
    <border>
      <left style="thin">
        <color rgb="FF000000"/>
      </left>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top style="thin">
        <color rgb="FF000000"/>
      </top>
    </border>
    <border>
      <left style="thin">
        <color rgb="FF000000"/>
      </left>
      <bottom style="thin">
        <color rgb="FF000000"/>
      </bottom>
    </border>
    <border>
      <bottom style="thin">
        <color rgb="FF000000"/>
      </bottom>
    </border>
  </borders>
  <cellStyleXfs count="1">
    <xf borderId="0" fillId="0" fontId="0" numFmtId="0" applyAlignment="1" applyFont="1"/>
  </cellStyleXfs>
  <cellXfs count="5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readingOrder="0" shrinkToFit="0" vertical="center" wrapText="0"/>
    </xf>
    <xf borderId="1" fillId="0" fontId="1" numFmtId="0" xfId="0" applyAlignment="1" applyBorder="1" applyFont="1">
      <alignment readingOrder="0"/>
    </xf>
    <xf borderId="2" fillId="0" fontId="1" numFmtId="0" xfId="0" applyAlignment="1" applyBorder="1" applyFont="1">
      <alignment readingOrder="0"/>
    </xf>
    <xf borderId="3" fillId="0" fontId="2" numFmtId="0" xfId="0" applyBorder="1" applyFont="1"/>
    <xf borderId="4" fillId="0" fontId="2" numFmtId="0" xfId="0" applyBorder="1" applyFont="1"/>
    <xf borderId="1" fillId="0" fontId="1" numFmtId="0" xfId="0" applyBorder="1" applyFont="1"/>
    <xf borderId="1" fillId="0" fontId="1" numFmtId="0" xfId="0" applyAlignment="1" applyBorder="1" applyFont="1">
      <alignment readingOrder="0" shrinkToFit="0" vertical="center" wrapText="0"/>
    </xf>
    <xf borderId="1" fillId="0" fontId="1" numFmtId="0" xfId="0" applyAlignment="1" applyBorder="1" applyFont="1">
      <alignment shrinkToFit="0" vertical="center" wrapText="0"/>
    </xf>
    <xf borderId="5" fillId="0" fontId="1" numFmtId="0" xfId="0" applyAlignment="1" applyBorder="1" applyFont="1">
      <alignment readingOrder="0"/>
    </xf>
    <xf borderId="0" fillId="0" fontId="3" numFmtId="0" xfId="0" applyFont="1"/>
    <xf borderId="1" fillId="0" fontId="1" numFmtId="0" xfId="0" applyAlignment="1" applyBorder="1" applyFont="1">
      <alignment readingOrder="0" shrinkToFit="0" wrapText="1"/>
    </xf>
    <xf borderId="5" fillId="0" fontId="1" numFmtId="0" xfId="0" applyBorder="1" applyFont="1"/>
    <xf borderId="5" fillId="0" fontId="1" numFmtId="0" xfId="0" applyAlignment="1" applyBorder="1" applyFont="1">
      <alignment readingOrder="0" shrinkToFit="0" wrapText="1"/>
    </xf>
    <xf borderId="1" fillId="0" fontId="1" numFmtId="0" xfId="0" applyAlignment="1" applyBorder="1" applyFont="1">
      <alignment readingOrder="0" shrinkToFit="0" vertical="top" wrapText="1"/>
    </xf>
    <xf borderId="0" fillId="2" fontId="1" numFmtId="0" xfId="0" applyFill="1" applyFont="1"/>
    <xf borderId="0" fillId="2" fontId="3" numFmtId="0" xfId="0" applyFont="1"/>
    <xf borderId="0" fillId="0" fontId="4" numFmtId="0" xfId="0" applyAlignment="1" applyFont="1">
      <alignment vertical="bottom"/>
    </xf>
    <xf borderId="0" fillId="2" fontId="4" numFmtId="0" xfId="0" applyAlignment="1" applyFont="1">
      <alignment vertical="bottom"/>
    </xf>
    <xf borderId="0" fillId="0" fontId="5" numFmtId="0" xfId="0" applyAlignment="1" applyFont="1">
      <alignment vertical="bottom"/>
    </xf>
    <xf borderId="0" fillId="0" fontId="1" numFmtId="0" xfId="0" applyAlignment="1" applyFont="1">
      <alignment readingOrder="0" shrinkToFit="0" vertical="top" wrapText="1"/>
    </xf>
    <xf borderId="6" fillId="0" fontId="1" numFmtId="0" xfId="0" applyAlignment="1" applyBorder="1" applyFont="1">
      <alignment readingOrder="0"/>
    </xf>
    <xf borderId="2" fillId="0" fontId="1" numFmtId="0" xfId="0" applyAlignment="1" applyBorder="1" applyFont="1">
      <alignment readingOrder="0" shrinkToFit="0" vertical="top" wrapText="1"/>
    </xf>
    <xf borderId="6" fillId="0" fontId="1" numFmtId="0" xfId="0" applyAlignment="1" applyBorder="1" applyFont="1">
      <alignment readingOrder="0" shrinkToFit="0" vertical="top" wrapText="1"/>
    </xf>
    <xf borderId="7" fillId="0" fontId="1" numFmtId="0" xfId="0" applyAlignment="1" applyBorder="1" applyFont="1">
      <alignment readingOrder="0" shrinkToFit="0" wrapText="1"/>
    </xf>
    <xf borderId="0" fillId="3" fontId="1" numFmtId="0" xfId="0" applyFill="1" applyFont="1"/>
    <xf borderId="5" fillId="0" fontId="1" numFmtId="0" xfId="0" applyAlignment="1" applyBorder="1" applyFont="1">
      <alignment readingOrder="0" shrinkToFit="0" vertical="top" wrapText="1"/>
    </xf>
    <xf borderId="7" fillId="0" fontId="1" numFmtId="0" xfId="0" applyAlignment="1" applyBorder="1" applyFont="1">
      <alignment readingOrder="0" shrinkToFit="0" vertical="top" wrapText="1"/>
    </xf>
    <xf borderId="0" fillId="4" fontId="1" numFmtId="0" xfId="0" applyFill="1" applyFont="1"/>
    <xf borderId="0" fillId="5" fontId="1" numFmtId="0" xfId="0" applyFill="1" applyFont="1"/>
    <xf borderId="0" fillId="0" fontId="6" numFmtId="0" xfId="0" applyFont="1"/>
    <xf borderId="0" fillId="0" fontId="1" numFmtId="0" xfId="0" applyAlignment="1" applyFont="1">
      <alignment readingOrder="0" shrinkToFit="0" wrapText="1"/>
    </xf>
    <xf borderId="1" fillId="0" fontId="1" numFmtId="0" xfId="0" applyAlignment="1" applyBorder="1" applyFont="1">
      <alignment readingOrder="0" vertical="top"/>
    </xf>
    <xf borderId="0" fillId="3" fontId="3" numFmtId="0" xfId="0" applyFont="1"/>
    <xf borderId="8" fillId="0" fontId="1" numFmtId="0" xfId="0" applyAlignment="1" applyBorder="1" applyFont="1">
      <alignment readingOrder="0"/>
    </xf>
    <xf borderId="0" fillId="0" fontId="1" numFmtId="0" xfId="0" applyAlignment="1" applyFont="1">
      <alignment readingOrder="0" vertical="top"/>
    </xf>
    <xf borderId="0" fillId="6" fontId="1" numFmtId="0" xfId="0" applyFill="1" applyFont="1"/>
    <xf borderId="1" fillId="0" fontId="4" numFmtId="0" xfId="0" applyAlignment="1" applyBorder="1" applyFont="1">
      <alignment vertical="bottom"/>
    </xf>
    <xf borderId="2" fillId="0" fontId="4" numFmtId="0" xfId="0" applyAlignment="1" applyBorder="1" applyFont="1">
      <alignment vertical="bottom"/>
    </xf>
    <xf borderId="1" fillId="0" fontId="4" numFmtId="0" xfId="0" applyAlignment="1" applyBorder="1" applyFont="1">
      <alignment vertical="bottom"/>
    </xf>
    <xf borderId="0" fillId="0" fontId="4" numFmtId="0" xfId="0" applyAlignment="1" applyFont="1">
      <alignment readingOrder="0" vertical="bottom"/>
    </xf>
    <xf borderId="0" fillId="0" fontId="4" numFmtId="0" xfId="0" applyAlignment="1" applyFont="1">
      <alignment readingOrder="0" vertical="bottom"/>
    </xf>
    <xf borderId="0" fillId="0" fontId="4" numFmtId="0" xfId="0" applyAlignment="1" applyFont="1">
      <alignment horizontal="left" readingOrder="0" shrinkToFit="0" vertical="bottom" wrapText="0"/>
    </xf>
    <xf borderId="0" fillId="0" fontId="4" numFmtId="0" xfId="0" applyAlignment="1" applyFont="1">
      <alignment horizontal="left" readingOrder="0" shrinkToFit="0" vertical="bottom" wrapText="0"/>
    </xf>
    <xf borderId="1" fillId="0" fontId="4" numFmtId="0" xfId="0" applyAlignment="1" applyBorder="1" applyFont="1">
      <alignment horizontal="right" shrinkToFit="0" vertical="bottom" wrapText="0"/>
    </xf>
    <xf borderId="1" fillId="0" fontId="4" numFmtId="0" xfId="0" applyAlignment="1" applyBorder="1" applyFont="1">
      <alignment horizontal="right" readingOrder="0" shrinkToFit="0" vertical="bottom" wrapText="0"/>
    </xf>
    <xf borderId="1" fillId="0" fontId="4" numFmtId="0" xfId="0" applyAlignment="1" applyBorder="1" applyFont="1">
      <alignment horizontal="right" shrinkToFit="0" vertical="bottom" wrapText="0"/>
    </xf>
    <xf borderId="1" fillId="0" fontId="4" numFmtId="0" xfId="0" applyAlignment="1" applyBorder="1" applyFont="1">
      <alignment readingOrder="0" shrinkToFit="0" vertical="bottom" wrapText="0"/>
    </xf>
    <xf borderId="7" fillId="0" fontId="4" numFmtId="0" xfId="0" applyAlignment="1" applyBorder="1" applyFont="1">
      <alignment horizontal="right" shrinkToFit="0" vertical="bottom" wrapText="0"/>
    </xf>
    <xf borderId="7" fillId="0" fontId="4" numFmtId="0" xfId="0" applyAlignment="1" applyBorder="1" applyFont="1">
      <alignment readingOrder="0" shrinkToFit="0" vertical="bottom" wrapText="0"/>
    </xf>
    <xf borderId="9" fillId="0" fontId="4" numFmtId="0" xfId="0" applyAlignment="1" applyBorder="1" applyFont="1">
      <alignment horizontal="right" vertical="bottom"/>
    </xf>
    <xf borderId="9" fillId="0" fontId="4" numFmtId="0" xfId="0" applyAlignment="1" applyBorder="1" applyFont="1">
      <alignment vertical="bottom"/>
    </xf>
    <xf borderId="0" fillId="0" fontId="4" numFmtId="0" xfId="0" applyAlignment="1" applyFont="1">
      <alignment horizontal="right" vertical="bottom"/>
    </xf>
    <xf borderId="0" fillId="0" fontId="4" numFmtId="0" xfId="0" applyAlignment="1" applyFont="1">
      <alignment horizontal="right" readingOrder="0" vertical="bottom"/>
    </xf>
    <xf borderId="10" fillId="0" fontId="1" numFmtId="0" xfId="0" applyAlignment="1" applyBorder="1" applyFont="1">
      <alignment readingOrder="0"/>
    </xf>
    <xf borderId="11" fillId="0" fontId="2" numFmtId="0" xfId="0" applyBorder="1"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8">
    <tableStyle count="4" pivot="0" name="Tier 1 Variant Values-style">
      <tableStyleElement dxfId="1" type="headerRow"/>
      <tableStyleElement dxfId="2" type="firstRowStripe"/>
      <tableStyleElement dxfId="3" type="secondRowStripe"/>
      <tableStyleElement dxfId="4" size="0" type="wholeTable"/>
    </tableStyle>
    <tableStyle count="4" pivot="0" name="Tier 2 Variant Values-style">
      <tableStyleElement dxfId="1" type="headerRow"/>
      <tableStyleElement dxfId="2" type="firstRowStripe"/>
      <tableStyleElement dxfId="3" type="secondRowStripe"/>
      <tableStyleElement dxfId="4" size="0" type="wholeTable"/>
    </tableStyle>
    <tableStyle count="4" pivot="0" name="sword-style">
      <tableStyleElement dxfId="1" type="headerRow"/>
      <tableStyleElement dxfId="2" type="firstRowStripe"/>
      <tableStyleElement dxfId="3" type="secondRowStripe"/>
      <tableStyleElement dxfId="4" size="0" type="wholeTable"/>
    </tableStyle>
    <tableStyle count="4" pivot="0" name="Hammer-style">
      <tableStyleElement dxfId="1" type="headerRow"/>
      <tableStyleElement dxfId="2" type="firstRowStripe"/>
      <tableStyleElement dxfId="3" type="secondRowStripe"/>
      <tableStyleElement dxfId="4" size="0" type="wholeTable"/>
    </tableStyle>
    <tableStyle count="4" pivot="0" name="1h Axe-style">
      <tableStyleElement dxfId="1" type="headerRow"/>
      <tableStyleElement dxfId="2" type="firstRowStripe"/>
      <tableStyleElement dxfId="3" type="secondRowStripe"/>
      <tableStyleElement dxfId="4" size="0" type="wholeTable"/>
    </tableStyle>
    <tableStyle count="4" pivot="0" name="Dagger-style">
      <tableStyleElement dxfId="1" type="headerRow"/>
      <tableStyleElement dxfId="2" type="firstRowStripe"/>
      <tableStyleElement dxfId="3" type="secondRowStripe"/>
      <tableStyleElement dxfId="4" size="0" type="wholeTable"/>
    </tableStyle>
    <tableStyle count="4" pivot="0" name="2h sword-style">
      <tableStyleElement dxfId="1" type="headerRow"/>
      <tableStyleElement dxfId="2" type="firstRowStripe"/>
      <tableStyleElement dxfId="3" type="secondRowStripe"/>
      <tableStyleElement dxfId="4" size="0" type="wholeTable"/>
    </tableStyle>
    <tableStyle count="4" pivot="0" name="2H Hammer-style">
      <tableStyleElement dxfId="1" type="headerRow"/>
      <tableStyleElement dxfId="2" type="firstRowStripe"/>
      <tableStyleElement dxfId="3" type="secondRowStripe"/>
      <tableStyleElement dxfId="4" size="0" type="wholeTable"/>
    </tableStyle>
    <tableStyle count="4" pivot="0" name="2H AXE-style">
      <tableStyleElement dxfId="1" type="headerRow"/>
      <tableStyleElement dxfId="2" type="firstRowStripe"/>
      <tableStyleElement dxfId="3" type="secondRowStripe"/>
      <tableStyleElement dxfId="4" size="0" type="wholeTable"/>
    </tableStyle>
    <tableStyle count="4" pivot="0" name="Spear-style">
      <tableStyleElement dxfId="1" type="headerRow"/>
      <tableStyleElement dxfId="2" type="firstRowStripe"/>
      <tableStyleElement dxfId="3" type="secondRowStripe"/>
      <tableStyleElement dxfId="4" size="0" type="wholeTable"/>
    </tableStyle>
    <tableStyle count="4" pivot="0" name="War Shield-style">
      <tableStyleElement dxfId="1" type="headerRow"/>
      <tableStyleElement dxfId="2" type="firstRowStripe"/>
      <tableStyleElement dxfId="3" type="secondRowStripe"/>
      <tableStyleElement dxfId="4" size="0" type="wholeTable"/>
    </tableStyle>
    <tableStyle count="4" pivot="0" name="Claws-style">
      <tableStyleElement dxfId="1" type="headerRow"/>
      <tableStyleElement dxfId="2" type="firstRowStripe"/>
      <tableStyleElement dxfId="3" type="secondRowStripe"/>
      <tableStyleElement dxfId="4" size="0" type="wholeTable"/>
    </tableStyle>
    <tableStyle count="4" pivot="0" name="Hand crossbow-style">
      <tableStyleElement dxfId="1" type="headerRow"/>
      <tableStyleElement dxfId="2" type="firstRowStripe"/>
      <tableStyleElement dxfId="3" type="secondRowStripe"/>
      <tableStyleElement dxfId="4" size="0" type="wholeTable"/>
    </tableStyle>
    <tableStyle count="4" pivot="0" name="Crossbow-style">
      <tableStyleElement dxfId="1" type="headerRow"/>
      <tableStyleElement dxfId="2" type="firstRowStripe"/>
      <tableStyleElement dxfId="3" type="secondRowStripe"/>
      <tableStyleElement dxfId="4" size="0" type="wholeTable"/>
    </tableStyle>
    <tableStyle count="4" pivot="0" name="Pistol-style">
      <tableStyleElement dxfId="1" type="headerRow"/>
      <tableStyleElement dxfId="2" type="firstRowStripe"/>
      <tableStyleElement dxfId="3" type="secondRowStripe"/>
      <tableStyleElement dxfId="4" size="0" type="wholeTable"/>
    </tableStyle>
    <tableStyle count="4" pivot="0" name="Shortbow-style">
      <tableStyleElement dxfId="1" type="headerRow"/>
      <tableStyleElement dxfId="2" type="firstRowStripe"/>
      <tableStyleElement dxfId="3" type="secondRowStripe"/>
      <tableStyleElement dxfId="4" size="0" type="wholeTable"/>
    </tableStyle>
    <tableStyle count="4" pivot="0" name="Longbow-style">
      <tableStyleElement dxfId="1" type="headerRow"/>
      <tableStyleElement dxfId="2" type="firstRowStripe"/>
      <tableStyleElement dxfId="3" type="secondRowStripe"/>
      <tableStyleElement dxfId="4" size="0" type="wholeTable"/>
    </tableStyle>
    <tableStyle count="4" pivot="0" name="Rifle-style">
      <tableStyleElement dxfId="1" type="headerRow"/>
      <tableStyleElement dxfId="2" type="firstRowStripe"/>
      <tableStyleElement dxfId="3" type="secondRowStripe"/>
      <tableStyleElement dxfId="4" size="0" type="wholeTable"/>
    </tableStyle>
    <tableStyle count="4" pivot="0" name="Cannon-style">
      <tableStyleElement dxfId="1" type="headerRow"/>
      <tableStyleElement dxfId="2" type="firstRowStripe"/>
      <tableStyleElement dxfId="3" type="secondRowStripe"/>
      <tableStyleElement dxfId="4" size="0" type="wholeTable"/>
    </tableStyle>
    <tableStyle count="4" pivot="0" name="Boomerang-style">
      <tableStyleElement dxfId="1" type="headerRow"/>
      <tableStyleElement dxfId="2" type="firstRowStripe"/>
      <tableStyleElement dxfId="3" type="secondRowStripe"/>
      <tableStyleElement dxfId="4" size="0" type="wholeTable"/>
    </tableStyle>
    <tableStyle count="4" pivot="0" name="Wand-style">
      <tableStyleElement dxfId="1" type="headerRow"/>
      <tableStyleElement dxfId="2" type="firstRowStripe"/>
      <tableStyleElement dxfId="3" type="secondRowStripe"/>
      <tableStyleElement dxfId="4" size="0" type="wholeTable"/>
    </tableStyle>
    <tableStyle count="4" pivot="0" name="Scepter-style">
      <tableStyleElement dxfId="1" type="headerRow"/>
      <tableStyleElement dxfId="2" type="firstRowStripe"/>
      <tableStyleElement dxfId="3" type="secondRowStripe"/>
      <tableStyleElement dxfId="4" size="0" type="wholeTable"/>
    </tableStyle>
    <tableStyle count="4" pivot="0" name="Tome of Secrets-style">
      <tableStyleElement dxfId="1" type="headerRow"/>
      <tableStyleElement dxfId="2" type="firstRowStripe"/>
      <tableStyleElement dxfId="3" type="secondRowStripe"/>
      <tableStyleElement dxfId="4" size="0" type="wholeTable"/>
    </tableStyle>
    <tableStyle count="4" pivot="0" name="Magic orb-style">
      <tableStyleElement dxfId="1" type="headerRow"/>
      <tableStyleElement dxfId="2" type="firstRowStripe"/>
      <tableStyleElement dxfId="3" type="secondRowStripe"/>
      <tableStyleElement dxfId="4" size="0" type="wholeTable"/>
    </tableStyle>
    <tableStyle count="4" pivot="0" name="power staff-style">
      <tableStyleElement dxfId="1" type="headerRow"/>
      <tableStyleElement dxfId="2" type="firstRowStripe"/>
      <tableStyleElement dxfId="3" type="secondRowStripe"/>
      <tableStyleElement dxfId="4" size="0" type="wholeTable"/>
    </tableStyle>
    <tableStyle count="4" pivot="0" name="druid staff-style">
      <tableStyleElement dxfId="1" type="headerRow"/>
      <tableStyleElement dxfId="2" type="firstRowStripe"/>
      <tableStyleElement dxfId="3" type="secondRowStripe"/>
      <tableStyleElement dxfId="4" size="0" type="wholeTable"/>
    </tableStyle>
    <tableStyle count="4" pivot="0" name="Gauntlet-style">
      <tableStyleElement dxfId="1" type="headerRow"/>
      <tableStyleElement dxfId="2" type="firstRowStripe"/>
      <tableStyleElement dxfId="3" type="secondRowStripe"/>
      <tableStyleElement dxfId="4" size="0" type="wholeTable"/>
    </tableStyle>
    <tableStyle count="4" pivot="0" name="Sacred Flower-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ocumenttasks/documenttask10.xml><?xml version="1.0" encoding="utf-8"?>
<Tasks xmlns="http://schemas.microsoft.com/office/tasks/2019/documenttasks"/>
</file>

<file path=xl/documenttasks/documenttask11.xml><?xml version="1.0" encoding="utf-8"?>
<Tasks xmlns="http://schemas.microsoft.com/office/tasks/2019/documenttasks"/>
</file>

<file path=xl/documenttasks/documenttask12.xml><?xml version="1.0" encoding="utf-8"?>
<Tasks xmlns="http://schemas.microsoft.com/office/tasks/2019/documenttasks"/>
</file>

<file path=xl/documenttasks/documenttask1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robo bobo" id="{9d465a26-362a-4e66-b7e9-eebccd0d45a8}" providerId="google-sheets"/>
  <x18tc:person displayName="ellaris clavis" id="{ee601277-9f17-4212-a6f8-18b1a1fa75e6}" providerId="google-sheets"/>
  <x18tc:person displayName="Abigail" id="{622f8693-1ecd-45cf-85a6-262c1db78dcc}" providerId="google-sheets"/>
</x18tc:personList>
</file>

<file path=xl/tables/table1.xml><?xml version="1.0" encoding="utf-8"?>
<table xmlns="http://schemas.openxmlformats.org/spreadsheetml/2006/main" ref="A8:R14" displayName="Tabela30" name="Tabela30" id="1">
  <tableColumns count="18">
    <tableColumn name="Level" id="1"/>
    <tableColumn name="Momentum" id="2"/>
    <tableColumn name="Physical Damage" id="3"/>
    <tableColumn name="Ranged Damage" id="4"/>
    <tableColumn name="Magic Damage" id="5"/>
    <tableColumn name="Stun Chance" id="6"/>
    <tableColumn name="Mana;Mana Regen" id="7"/>
    <tableColumn name="Health;Health Regen" id="8"/>
    <tableColumn name="Reliability" id="9"/>
    <tableColumn name="Opportunism" id="10"/>
    <tableColumn name="Isolation" id="11"/>
    <tableColumn name="Resistance Reduction" id="12"/>
    <tableColumn name="Accuracy" id="13"/>
    <tableColumn name="Block" id="14"/>
    <tableColumn name="Critical" id="15"/>
    <tableColumn name="Critical Power" id="16"/>
    <tableColumn name="Poison Damage" id="17"/>
    <tableColumn name="XP gain" id="18"/>
  </tableColumns>
  <tableStyleInfo name="Tier 1 Variant Values-style" showColumnStripes="0" showFirstColumn="1" showLastColumn="1" showRowStripes="1"/>
</table>
</file>

<file path=xl/tables/table2.xml><?xml version="1.0" encoding="utf-8"?>
<table xmlns="http://schemas.openxmlformats.org/spreadsheetml/2006/main" ref="A8:W14" displayName="Tabela31" name="Tabela31" id="2">
  <tableColumns count="23">
    <tableColumn name="Level" id="1"/>
    <tableColumn name="Propagation Bounces" id="2"/>
    <tableColumn name="Propagation Damage" id="3"/>
    <tableColumn name="Move Points;Dodge" id="4"/>
    <tableColumn name="Skill Range" id="5"/>
    <tableColumn name="Armor;Resistance" id="6"/>
    <tableColumn name="Momentum" id="7"/>
    <tableColumn name="Physical Damage" id="8"/>
    <tableColumn name="Ranged Damage" id="9"/>
    <tableColumn name="Magic Damage" id="10"/>
    <tableColumn name="Stun Chance" id="11"/>
    <tableColumn name="Mana;Mana Regen" id="12"/>
    <tableColumn name="Health;Health Regen" id="13"/>
    <tableColumn name="Reliability" id="14"/>
    <tableColumn name="Opportunism" id="15"/>
    <tableColumn name="Isolation" id="16"/>
    <tableColumn name="Resistance Reduction" id="17"/>
    <tableColumn name="Accuracy" id="18"/>
    <tableColumn name="Block" id="19"/>
    <tableColumn name="Critical" id="20"/>
    <tableColumn name="Critical Power" id="21"/>
    <tableColumn name="Poison Damage" id="22"/>
    <tableColumn name="XP gain" id="23"/>
  </tableColumns>
  <tableStyleInfo name="Tier 2 Variant Values-style" showColumnStripes="0" showFirstColumn="1" showLastColumn="1" showRowStripes="1"/>
</table>
</file>

<file path=xl/tables/table3.xml><?xml version="1.0" encoding="utf-8"?>
<table xmlns="http://schemas.openxmlformats.org/spreadsheetml/2006/main" ref="A5:H12" displayName="Tabela1" name="Tabela1" id="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word-style" showColumnStripes="0" showFirstColumn="1" showLastColumn="1" showRowStripes="1"/>
</table>
</file>

<file path=xl/tables/table4.xml><?xml version="1.0" encoding="utf-8"?>
<table xmlns="http://schemas.openxmlformats.org/spreadsheetml/2006/main" ref="A5:H12" displayName="Tabela2" name="Tabela2" id="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Hammer-style" showColumnStripes="0" showFirstColumn="1" showLastColumn="1" showRowStripes="1"/>
</table>
</file>

<file path=xl/tables/table5.xml><?xml version="1.0" encoding="utf-8"?>
<table xmlns="http://schemas.openxmlformats.org/spreadsheetml/2006/main" ref="A5:H12" displayName="Tabela3" name="Tabela3" id="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1h Axe-style" showColumnStripes="0" showFirstColumn="1" showLastColumn="1" showRowStripes="1"/>
</table>
</file>

<file path=xl/tables/table6.xml><?xml version="1.0" encoding="utf-8"?>
<table xmlns="http://schemas.openxmlformats.org/spreadsheetml/2006/main" ref="A5:H12" displayName="Tabela4" name="Tabela4" id="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Dagger-style" showColumnStripes="0" showFirstColumn="1" showLastColumn="1" showRowStripes="1"/>
</table>
</file>

<file path=xl/tables/table7.xml><?xml version="1.0" encoding="utf-8"?>
<table xmlns="http://schemas.openxmlformats.org/spreadsheetml/2006/main" ref="A5:H12" displayName="Tabela5" name="Tabela5" id="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sword-style" showColumnStripes="0" showFirstColumn="1" showLastColumn="1" showRowStripes="1"/>
</table>
</file>

<file path=xl/tables/table8.xml><?xml version="1.0" encoding="utf-8"?>
<table xmlns="http://schemas.openxmlformats.org/spreadsheetml/2006/main" ref="A5:H12" displayName="Tabela6" name="Tabela6" id="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Hammer-style" showColumnStripes="0" showFirstColumn="1" showLastColumn="1" showRowStripes="1"/>
</table>
</file>

<file path=xl/tables/table9.xml><?xml version="1.0" encoding="utf-8"?>
<table xmlns="http://schemas.openxmlformats.org/spreadsheetml/2006/main" ref="A5:H12" displayName="Tabela7" name="Tabela7" id="9">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AXE-style" showColumnStripes="0" showFirstColumn="1" showLastColumn="1" showRowStripes="1"/>
</table>
</file>

<file path=xl/tables/table10.xml><?xml version="1.0" encoding="utf-8"?>
<table xmlns="http://schemas.openxmlformats.org/spreadsheetml/2006/main" ref="A5:H12" displayName="Tabela8" name="Tabela8" id="10">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pear-style" showColumnStripes="0" showFirstColumn="1" showLastColumn="1" showRowStripes="1"/>
</table>
</file>

<file path=xl/tables/table11.xml><?xml version="1.0" encoding="utf-8"?>
<table xmlns="http://schemas.openxmlformats.org/spreadsheetml/2006/main" ref="A5:H12" displayName="Tabela9" name="Tabela9" id="11">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War Shield-style" showColumnStripes="0" showFirstColumn="1" showLastColumn="1" showRowStripes="1"/>
</table>
</file>

<file path=xl/tables/table12.xml><?xml version="1.0" encoding="utf-8"?>
<table xmlns="http://schemas.openxmlformats.org/spreadsheetml/2006/main" ref="A5:H12" displayName="Tabela10" name="Tabela10" id="12">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laws-style" showColumnStripes="0" showFirstColumn="1" showLastColumn="1" showRowStripes="1"/>
</table>
</file>

<file path=xl/tables/table13.xml><?xml version="1.0" encoding="utf-8"?>
<table xmlns="http://schemas.openxmlformats.org/spreadsheetml/2006/main" ref="A5:H12" displayName="Tabela11" name="Tabela11" id="1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Hand crossbow-style" showColumnStripes="0" showFirstColumn="1" showLastColumn="1" showRowStripes="1"/>
</table>
</file>

<file path=xl/tables/table14.xml><?xml version="1.0" encoding="utf-8"?>
<table xmlns="http://schemas.openxmlformats.org/spreadsheetml/2006/main" ref="A5:H12" displayName="Tabela12" name="Tabela12" id="1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rossbow-style" showColumnStripes="0" showFirstColumn="1" showLastColumn="1" showRowStripes="1"/>
</table>
</file>

<file path=xl/tables/table15.xml><?xml version="1.0" encoding="utf-8"?>
<table xmlns="http://schemas.openxmlformats.org/spreadsheetml/2006/main" ref="A5:H12" displayName="Tabela13" name="Tabela13" id="1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Pistol-style" showColumnStripes="0" showFirstColumn="1" showLastColumn="1" showRowStripes="1"/>
</table>
</file>

<file path=xl/tables/table16.xml><?xml version="1.0" encoding="utf-8"?>
<table xmlns="http://schemas.openxmlformats.org/spreadsheetml/2006/main" ref="A5:H12" displayName="Tabela14" name="Tabela14" id="1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hortbow-style" showColumnStripes="0" showFirstColumn="1" showLastColumn="1" showRowStripes="1"/>
</table>
</file>

<file path=xl/tables/table17.xml><?xml version="1.0" encoding="utf-8"?>
<table xmlns="http://schemas.openxmlformats.org/spreadsheetml/2006/main" ref="A5:H12" displayName="Tabela15" name="Tabela15" id="1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Longbow-style" showColumnStripes="0" showFirstColumn="1" showLastColumn="1" showRowStripes="1"/>
</table>
</file>

<file path=xl/tables/table18.xml><?xml version="1.0" encoding="utf-8"?>
<table xmlns="http://schemas.openxmlformats.org/spreadsheetml/2006/main" ref="A5:H12" displayName="Tabela16" name="Tabela16" id="1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Rifle-style" showColumnStripes="0" showFirstColumn="1" showLastColumn="1" showRowStripes="1"/>
</table>
</file>

<file path=xl/tables/table19.xml><?xml version="1.0" encoding="utf-8"?>
<table xmlns="http://schemas.openxmlformats.org/spreadsheetml/2006/main" ref="A5:H12" displayName="Tabela17" name="Tabela17" id="19">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annon-style" showColumnStripes="0" showFirstColumn="1" showLastColumn="1" showRowStripes="1"/>
</table>
</file>

<file path=xl/tables/table20.xml><?xml version="1.0" encoding="utf-8"?>
<table xmlns="http://schemas.openxmlformats.org/spreadsheetml/2006/main" ref="A5:H12" displayName="Tabela18" name="Tabela18" id="20">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Boomerang-style" showColumnStripes="0" showFirstColumn="1" showLastColumn="1" showRowStripes="1"/>
</table>
</file>

<file path=xl/tables/table21.xml><?xml version="1.0" encoding="utf-8"?>
<table xmlns="http://schemas.openxmlformats.org/spreadsheetml/2006/main" ref="A5:H12" displayName="Tabela19" name="Tabela19" id="21">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Wand-style" showColumnStripes="0" showFirstColumn="1" showLastColumn="1" showRowStripes="1"/>
</table>
</file>

<file path=xl/tables/table22.xml><?xml version="1.0" encoding="utf-8"?>
<table xmlns="http://schemas.openxmlformats.org/spreadsheetml/2006/main" ref="A5:H12" displayName="Tabela20" name="Tabela20" id="22">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cepter-style" showColumnStripes="0" showFirstColumn="1" showLastColumn="1" showRowStripes="1"/>
</table>
</file>

<file path=xl/tables/table23.xml><?xml version="1.0" encoding="utf-8"?>
<table xmlns="http://schemas.openxmlformats.org/spreadsheetml/2006/main" ref="A5:H12" displayName="Tabela21" name="Tabela21" id="2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Tome of Secrets-style" showColumnStripes="0" showFirstColumn="1" showLastColumn="1" showRowStripes="1"/>
</table>
</file>

<file path=xl/tables/table24.xml><?xml version="1.0" encoding="utf-8"?>
<table xmlns="http://schemas.openxmlformats.org/spreadsheetml/2006/main" ref="A5:H12" displayName="Tabela22" name="Tabela22" id="2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Magic orb-style" showColumnStripes="0" showFirstColumn="1" showLastColumn="1" showRowStripes="1"/>
</table>
</file>

<file path=xl/tables/table25.xml><?xml version="1.0" encoding="utf-8"?>
<table xmlns="http://schemas.openxmlformats.org/spreadsheetml/2006/main" ref="A5:H12" displayName="Tabela23" name="Tabela23" id="2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power staff-style" showColumnStripes="0" showFirstColumn="1" showLastColumn="1" showRowStripes="1"/>
</table>
</file>

<file path=xl/tables/table26.xml><?xml version="1.0" encoding="utf-8"?>
<table xmlns="http://schemas.openxmlformats.org/spreadsheetml/2006/main" ref="A5:H12" displayName="Tabela24" name="Tabela24" id="2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druid staff-style" showColumnStripes="0" showFirstColumn="1" showLastColumn="1" showRowStripes="1"/>
</table>
</file>

<file path=xl/tables/table27.xml><?xml version="1.0" encoding="utf-8"?>
<table xmlns="http://schemas.openxmlformats.org/spreadsheetml/2006/main" ref="A5:H12" displayName="Tabela25" name="Tabela25" id="2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Gauntlet-style" showColumnStripes="0" showFirstColumn="1" showLastColumn="1" showRowStripes="1"/>
</table>
</file>

<file path=xl/tables/table28.xml><?xml version="1.0" encoding="utf-8"?>
<table xmlns="http://schemas.openxmlformats.org/spreadsheetml/2006/main" ref="A5:H12" displayName="Tabela26" name="Tabela26" id="2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acred Flow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45:42.00" personId="{ee601277-9f17-4212-a6f8-18b1a1fa75e6}" id="{0529f316-382a-461f-8176-cf5cd1f3e99f}" done="1">
    <x18tc:text xml:space="preserve">This feels like it makes the hammer a ranged weapon</x18tc:text>
  </x18tc:threadedComment>
  <x18tc:threadedComment ref="A18" dT="2026-01-18T16:37:24.00" personId="{9d465a26-362a-4e66-b7e9-eebccd0d45a8}" id="{fc6ed6e9-b962-439a-ac3f-2b6817683bf7}" parentId="{0529f316-382a-461f-8176-cf5cd1f3e99f}">
    <x18tc:text xml:space="preserve">Why? do you mean the +1 use on the skill 2?</x18tc:text>
  </x18tc:threadedComment>
  <x18tc:threadedComment ref="A18" dT="2026-01-18T17:38:03.00" personId="{ee601277-9f17-4212-a6f8-18b1a1fa75e6}" id="{c073e981-4464-4ba3-b211-b5e35be92080}" parentId="{0529f316-382a-461f-8176-cf5cd1f3e99f}">
    <x18tc:text xml:space="preserve">yes, moving from skill 1 into 2, also skill 2 is already quite strong, I think maybe skill 3 could have something to help with killing those enemies, like  2 turn armor or resistance debuff alongside the stun</x18tc:text>
  </x18tc:threadedComment>
  <x18tc:threadedComment ref="A18" dT="2026-01-18T19:16:53.00" personId="{9d465a26-362a-4e66-b7e9-eebccd0d45a8}" id="{007c377f-c888-4a6c-89d3-f7142cf8a00a}" parentId="{0529f316-382a-461f-8176-cf5cd1f3e99f}">
    <x18tc:text xml:space="preserve">Okay, that's fair, I'm reverting the skill use changes. 
Skill 3 is mostly about stun, so it doesn't need help killing the side tiles though.</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8" dT="2026-01-18T15:48:47.00" personId="{ee601277-9f17-4212-a6f8-18b1a1fa75e6}" id="{3b93df5d-bc29-47e7-b597-33499a859c06}" done="1">
    <x18tc:text xml:space="preserve">not sure if this is enough to make it feel good?
at least make skill 1 able to target ground</x18tc:text>
  </x18tc:threadedComment>
  <x18tc:threadedComment ref="D18" dT="2026-01-18T16:39:59.00" personId="{9d465a26-362a-4e66-b7e9-eebccd0d45a8}" id="{996ea597-dc00-46af-a55d-7de7e430c85e}" parentId="{3b93df5d-bc29-47e7-b597-33499a859c06}">
    <x18tc:text xml:space="preserve">I think it should be enough
Maybe skill 2 should also get more base momentum, but 2h sword is already pretty close to being good.
I'm not sure if it's possible to make 2h sword ground targetable but it's worth looking into</x18tc:text>
  </x18tc:threadedComment>
  <x18tc:threadedComment ref="D18" dT="2026-01-18T17:06:03.00" personId="{622f8693-1ecd-45cf-85a6-262c1db78dcc}" id="{498e3ac6-28d9-466a-8ebc-fbe49b09f3a6}" parentId="{3b93df5d-bc29-47e7-b597-33499a859c06}">
    <x18tc:text xml:space="preserve">the movement cost on skill 4 is my biggest criticism of 2h sword, so this is a change I agree with</x18tc:text>
  </x18tc:threadedComment>
  <x18tc:threadedComment ref="D18" dT="2026-01-18T17:36:04.00" personId="{ee601277-9f17-4212-a6f8-18b1a1fa75e6}" id="{66255447-0359-4b8a-b7bc-5fe3801db069}" parentId="{3b93df5d-bc29-47e7-b597-33499a859c06}">
    <x18tc:text xml:space="preserve">it does feel bad, since it's hard to position, adn you already pay for momentum with movement, and if you're short you have to use skill 1 which makes skill 4 do less damage (if you kill)</x18tc:text>
  </x18tc:threadedComment>
  <x18tc:threadedComment ref="D18" dT="2026-01-18T18:07:44.00" personId="{622f8693-1ecd-45cf-85a6-262c1db78dcc}" id="{2c7816d6-e167-4123-a8ca-533101348f41}" parentId="{3b93df5d-bc29-47e7-b597-33499a859c06}">
    <x18tc:text xml:space="preserve">Skill 1 doesn't change the damage of skill 4? And why would killing with it matter?</x18tc:text>
  </x18tc:threadedComment>
  <x18tc:threadedComment ref="D18" dT="2026-01-18T18:41:53.00" personId="{ee601277-9f17-4212-a6f8-18b1a1fa75e6}" id="{befb09e2-b01c-48ed-baaf-5b17988d4afe}" parentId="{3b93df5d-bc29-47e7-b597-33499a859c06}">
    <x18tc:text xml:space="preserve">what I meant is if you end up in a place where you don't have enough movement for skill 4, and need to use skill 1 to get the movement, and kill enemies you wanted to target with skill 4, it feels bad</x18tc:text>
  </x18tc:threadedComment>
  <x18tc:threadedComment ref="D18" dT="2026-01-18T18:47:50.00" personId="{622f8693-1ecd-45cf-85a6-262c1db78dcc}" id="{4d161b37-7b15-4696-b851-4ca74c0bc2a4}" parentId="{3b93df5d-bc29-47e7-b597-33499a859c06}">
    <x18tc:text xml:space="preserve">And that will happen less if skill 4 doesn't cost movement?</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5" dT="2026-01-18T17:17:55.00" personId="{622f8693-1ecd-45cf-85a6-262c1db78dcc}" id="{06b17c7d-be2c-43d5-9d54-aaaf5dff3efb}" done="1">
    <x18tc:text xml:space="preserve">I'd also make it apply the debuff to the main target tile</x18tc:text>
  </x18tc:threadedComment>
  <x18tc:threadedComment ref="B15" dT="2026-01-18T17:30:14.00" personId="{9d465a26-362a-4e66-b7e9-eebccd0d45a8}" id="{41a9f2ba-d7b9-4dbb-ad3e-12737870fb95}" parentId="{06b17c7d-be2c-43d5-9d54-aaaf5dff3efb}">
    <x18tc:text xml:space="preserve">Sure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53:30.00" personId="{ee601277-9f17-4212-a6f8-18b1a1fa75e6}" id="{39584f83-f899-4026-83fb-e04f382c9d1b}" done="1">
    <x18tc:text xml:space="preserve">I don't think this would be very helpful.
Maybe a x3 multihit (and slightly lower damage) with range 1-2 non-modifiable?
probably would need to change skill 3 away from multihit tho, like a cardinal spear throw with higher range, and maybe secondary damage on the sides (or debuff)</x18tc:text>
  </x18tc:threadedComment>
  <x18tc:threadedComment ref="A18" dT="2026-01-18T16:42:08.00" personId="{9d465a26-362a-4e66-b7e9-eebccd0d45a8}" id="{299c8d51-13fb-4b02-8a0b-eed5f10cb834}" parentId="{39584f83-f899-4026-83fb-e04f382c9d1b}">
    <x18tc:text xml:space="preserve">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x18tc:text>
  </x18tc:threadedComment>
  <x18tc:threadedComment ref="A18" dT="2026-01-18T17:34:42.00" personId="{ee601277-9f17-4212-a6f8-18b1a1fa75e6}" id="{401ee7c3-6575-4720-aa67-4616d2f5ab62}" parentId="{39584f83-f899-4026-83fb-e04f382c9d1b}">
    <x18tc:text xml:space="preserve">that is fine, but it could be more balanced on a melee weapon.
The idea is that it is starting to look like great axe with different shape, and I think great age works better since you can stay in the middle of the wave, where as with the spear it could be better from the side?</x18tc:text>
  </x18tc:threadedComment>
  <x18tc:threadedComment ref="A18" dT="2026-01-18T19:20:21.00" personId="{9d465a26-362a-4e66-b7e9-eebccd0d45a8}" id="{dcaea590-cdb1-42b5-a755-5e59f28c30a0}" parentId="{39584f83-f899-4026-83fb-e04f382c9d1b}">
    <x18tc:text xml:space="preserve">Yeah, the damage, positioning, amount of tiles, and accuracy is still different so i think it's different enough.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 dT="2026-01-18T15:00:09.00" personId="{ee601277-9f17-4212-a6f8-18b1a1fa75e6}" id="{cabfcbf4-98d4-46c4-adde-dba8ecea9e2c}" done="1">
    <x18tc:text xml:space="preserve">I'm not sure about the -dodge if it's really necessary.
would be possible to increase the skills damage by block amount?</x18tc:text>
  </x18tc:threadedComment>
  <x18tc:threadedComment ref="B18" dT="2026-01-18T15:32:34.00" personId="{9d465a26-362a-4e66-b7e9-eebccd0d45a8}" id="{cfd516ea-28bf-4d36-ad13-864f5e9343a9}" parentId="{cabfcbf4-98d4-46c4-adde-dba8ecea9e2c}">
    <x18tc:text xml:space="preserve">I think it's worthwhile if we're removing base stat penalties from weapons, but tbh yes, it's not needed and we can just keep the -flat dodge. I don't think it's possible to increase the skills damage by the block amount, the perk already kind of does something like that anyway.</x18tc:text>
  </x18tc:threadedComment>
  <x18tc:threadedComment ref="C22" dT="2026-01-18T15:02:54.00" personId="{ee601277-9f17-4212-a6f8-18b1a1fa75e6}" id="{20ae11e6-0dc0-445d-9253-32a3d8c3f9df}" done="1">
    <x18tc:text xml:space="preserve">could make the steel grant block and this one give movement, since it's light and you like to position yourself with it</x18tc:text>
  </x18tc:threadedComment>
  <x18tc:threadedComment ref="C22" dT="2026-01-18T15:33:33.00" personId="{9d465a26-362a-4e66-b7e9-eebccd0d45a8}" id="{152f828b-02a9-4be5-ad87-712061fb7e9e}" parentId="{20ae11e6-0dc0-445d-9253-32a3d8c3f9df}">
    <x18tc:text xml:space="preserve">That's an option, although few weapons make sense with +armor, so i wanted war shield to have it.</x18tc:text>
  </x18tc:threadedComment>
  <x18tc:threadedComment ref="C22" dT="2026-01-18T17:47:05.00" personId="{ee601277-9f17-4212-a6f8-18b1a1fa75e6}" id="{34640c6e-9f5f-4352-8eec-3d4981bef84f}" parentId="{20ae11e6-0dc0-445d-9253-32a3d8c3f9df}">
    <x18tc:text xml:space="preserve">It would make most sense to be on shield, but I would still prefer to keep armor on my armor.
also is the amount at tier 5? because it might not be that great, is tier 5 supposed to block an attack or half from a regular clawer?</x18tc:text>
  </x18tc:threadedComment>
  <x18tc:threadedComment ref="C22" dT="2026-01-18T19:19:02.00" personId="{9d465a26-362a-4e66-b7e9-eebccd0d45a8}" id="{6baef9fb-aade-4244-b094-cbdb26db327c}" parentId="{20ae11e6-0dc0-445d-9253-32a3d8c3f9df}">
    <x18tc:text xml:space="preserve">No, we start calculating from tier 0</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7" dT="2026-01-18T16:17:52.00" personId="{ee601277-9f17-4212-a6f8-18b1a1fa75e6}" id="{f9f16a61-408d-400b-9164-c1e585eefe06}" done="1">
    <x18tc:text xml:space="preserve">I don't think dealing damage and applying poison at the same time makes too much sense</x18tc:text>
  </x18tc:threadedComment>
  <x18tc:threadedComment ref="A17" dT="2026-01-18T16:50:22.00" personId="{9d465a26-362a-4e66-b7e9-eebccd0d45a8}" id="{710477a0-68a2-4bab-9f2a-b5b75fa01554}" parentId="{f9f16a61-408d-400b-9164-c1e585eefe06}">
    <x18tc:text xml:space="preserve">Why not? Orb does it, Sacred flower does it, bee sting does it.</x18tc:text>
  </x18tc:threadedComment>
  <x18tc:threadedComment ref="A17" dT="2026-01-18T17:08:00.00" personId="{9d465a26-362a-4e66-b7e9-eebccd0d45a8}" id="{87b9cdf8-3160-4d4f-a9a1-d285030fed81}" parentId="{f9f16a61-408d-400b-9164-c1e585eefe06}">
    <x18tc:text xml:space="preserve">Also dagger skill 3 does it</x18tc:text>
  </x18tc:threadedComment>
  <x18tc:threadedComment ref="A17" dT="2026-01-18T17:10:54.00" personId="{622f8693-1ecd-45cf-85a6-262c1db78dcc}" id="{a2164f83-9b5f-4e80-aa8f-7b4db560cf83}" parentId="{f9f16a61-408d-400b-9164-c1e585eefe06}">
    <x18tc:text xml:space="preserve">yeah, it makes the skills a little worse than if they just do poison, because the poison doesn't get applied if the enemy dies or dodges, but that's just a balancing factor
And Hand crossbow doesn't need skills that ignore even more defensive stats</x18tc:text>
  </x18tc:threadedComment>
  <x18tc:threadedComment ref="A17" dT="2026-01-18T19:28:34.00" personId="{9d465a26-362a-4e66-b7e9-eebccd0d45a8}" id="{1d65d44c-b114-4c7b-9a3a-b63a8ae751a3}" parentId="{f9f16a61-408d-400b-9164-c1e585eefe06}">
    <x18tc:text xml:space="preserve">I think the skill will remain fine, keeping it unchanged for now.</x18tc:text>
  </x18tc:threadedComment>
  <x18tc:threadedComment ref="B17" dT="2026-01-18T16:06:10.00" personId="{ee601277-9f17-4212-a6f8-18b1a1fa75e6}" id="{ab9975ce-65fc-419f-a224-72479b159019}" done="1">
    <x18tc:text xml:space="preserve">how about -1 movement instead of mana for 2 multihits and 3 uses?
or start the ability with 2 multihit and higher multiplayer on lowe item tier and 3 multihit with lower multiplayer on higher tier?
I don't think there is a very clean way for 1 ap multihit</x18tc:text>
  </x18tc:threadedComment>
  <x18tc:threadedComment ref="B17" dT="2026-01-18T16:34:13.00" personId="{9d465a26-362a-4e66-b7e9-eebccd0d45a8}" id="{1ce1898d-3be2-4d04-b51d-c09c09a9128e}" parentId="{ab9975ce-65fc-419f-a224-72479b159019}">
    <x18tc:text xml:space="preserve">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x18tc:text>
  </x18tc:threadedComment>
  <x18tc:threadedComment ref="B17" dT="2026-01-18T17:12:01.00" personId="{622f8693-1ecd-45cf-85a6-262c1db78dcc}" id="{0404cf44-1252-4f9a-8ed2-80f85d7f1d69}" parentId="{ab9975ce-65fc-419f-a224-72479b159019}">
    <x18tc:text xml:space="preserve">I think manaless but no opp would be better, it feels weird for a non magic weapon to use mana on skill 2
but yeah, 2 uses is the important balancing aspect</x18tc:text>
  </x18tc:threadedComment>
  <x18tc:threadedComment ref="B17" dT="2026-01-18T17:24:17.00" personId="{ee601277-9f17-4212-a6f8-18b1a1fa75e6}" id="{11a6e233-693a-4556-9066-b793517c64c9}" parentId="{ab9975ce-65fc-419f-a224-72479b159019}">
    <x18tc:text xml:space="preserve">yeah, I can see that, it might also be that it looks like it doesn't know what to do since it can use any stat, maybe it should just focus on doing 1 thing instead of being able to do everything?</x18tc:text>
  </x18tc:threadedComment>
  <x18tc:threadedComment ref="B17" dT="2026-01-18T19:27:21.00" personId="{9d465a26-362a-4e66-b7e9-eebccd0d45a8}" id="{76e2d94c-60c6-4795-97a4-10ae5df0f1d8}" parentId="{ab9975ce-65fc-419f-a224-72479b159019}">
    <x18tc:text xml:space="preserve">That's why i tried to give it opp, to focus more on the debuff/poison
But I've removed opp and mana cost, and gave opp to blaze instead.</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09:00.00" personId="{ee601277-9f17-4212-a6f8-18b1a1fa75e6}" id="{48504bb7-1fae-4924-8e4f-b69744ea5180}" done="1">
    <x18tc:text xml:space="preserve">I kinda liked the old one, not a fan of these changes</x18tc:text>
  </x18tc:threadedComment>
  <x18tc:threadedComment ref="A18" dT="2026-01-18T15:30:26.00" personId="{9d465a26-362a-4e66-b7e9-eebccd0d45a8}" id="{8819cffd-9bde-43dc-ab1b-0e81679cee1d}" parentId="{48504bb7-1fae-4924-8e4f-b69744ea5180}">
    <x18tc:text xml:space="preserve">I can revert the skill 2 and 4 changes but I do think the -res debuff should go to the hammer, not crossbow</x18tc:text>
  </x18tc:threadedComment>
  <x18tc:threadedComment ref="A18" dT="2026-01-18T17:07:25.00" personId="{622f8693-1ecd-45cf-85a6-262c1db78dcc}" id="{72dabe5e-093e-467e-a200-24f93d498a66}" parentId="{48504bb7-1fae-4924-8e4f-b69744ea5180}">
    <x18tc:text xml:space="preserve">I almost think that crossbow just doesn't need any debuffs. Debuffs and using opportunism doesn't need to be something that every single weapon can do?</x18tc:text>
  </x18tc:threadedComment>
  <x18tc:threadedComment ref="A18" dT="2026-01-18T17:27:25.00" personId="{9d465a26-362a-4e66-b7e9-eebccd0d45a8}" id="{ac7a8a25-3d7b-4df1-bc6e-4bb405dd314e}" parentId="{48504bb7-1fae-4924-8e4f-b69744ea5180}">
    <x18tc:text xml:space="preserve">It does not need it, but since i want to put the -res on hammer i do think it could use something
It's generally fun if skills 1 and 2 have some spice.  I can always just increase the base damage of it further instead.</x18tc:text>
  </x18tc:threadedComment>
  <x18tc:threadedComment ref="A18" dT="2026-01-18T17:44:12.00" personId="{ee601277-9f17-4212-a6f8-18b1a1fa75e6}" id="{97b8f776-84fc-4c4c-8206-684719ed3a45}" parentId="{48504bb7-1fae-4924-8e4f-b69744ea5180}">
    <x18tc:text xml:space="preserve">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x18tc:text>
  </x18tc:threadedComment>
  <x18tc:threadedComment ref="A18" dT="2026-01-18T19:23:51.00" personId="{9d465a26-362a-4e66-b7e9-eebccd0d45a8}" id="{c57c26f9-7117-4837-a34c-6c8ba6076e12}" parentId="{48504bb7-1fae-4924-8e4f-b69744ea5180}">
    <x18tc:text xml:space="preserve">Reverted the Skill 2 changes. As for skill 4, you have edit rights, so draw the aoe you're talking about. Though I'm not a fan of yet another grapeshot blast shape, we already have 3 of these</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01-18T16:01:26.00" personId="{ee601277-9f17-4212-a6f8-18b1a1fa75e6}" id="{9d6420aa-1764-4cf9-9d87-e8def7eb31ad}" done="1">
    <x18tc:text xml:space="preserve">I feel like it might need more damage, unless base damage already covers that, but pistol always felt weak for me</x18tc:text>
  </x18tc:threadedComment>
  <x18tc:threadedComment ref="C16" dT="2026-01-18T16:49:52.00" personId="{9d465a26-362a-4e66-b7e9-eebccd0d45a8}" id="{41b7c3c4-3da0-454b-97b2-ef24a3ad6515}" parentId="{9d6420aa-1764-4cf9-9d87-e8def7eb31ad}">
    <x18tc:text xml:space="preserve">I think the base damage covers that well enough. It's one of the better skill 3s anyway.</x18tc:text>
  </x18tc:threadedComment>
  <x18tc:threadedComment ref="C16" dT="2026-01-18T17:09:06.00" personId="{622f8693-1ecd-45cf-85a6-262c1db78dcc}" id="{8a446594-d465-44ff-bf01-9fdb39cf0e65}" parentId="{9d6420aa-1764-4cf9-9d87-e8def7eb31ad}">
    <x18tc:text xml:space="preserve">grape shot is a very good skill, a base damage increase would improve it early and then late game it becomes great with proximity shot</x18tc:text>
  </x18tc:threadedComment>
  <x18tc:threadedComment ref="C16" dT="2026-01-18T17:26:05.00" personId="{ee601277-9f17-4212-a6f8-18b1a1fa75e6}" id="{98a62657-4fc4-4082-9776-bf47bce377dc}" parentId="{9d6420aa-1764-4cf9-9d87-e8def7eb31ad}">
    <x18tc:text xml:space="preserve">yeah, I don't play with many "ranged" perks, since they tend to be ranged damage specific and kinda weird overall, the other perks are definitely more universal</x18tc:text>
  </x18tc:threadedComment>
  <x18tc:threadedComment ref="C16" dT="2026-01-18T18:06:28.00" personId="{622f8693-1ecd-45cf-85a6-262c1db78dcc}" id="{a956ecf9-8812-4254-8914-a4e6615049a2}" parentId="{9d6420aa-1764-4cf9-9d87-e8def7eb31ad}">
    <x18tc:text xml:space="preserve">Proximity shot is the only one that's ranged damage specific, and it's a very very good perk</x18tc:text>
  </x18tc:threadedComment>
  <x18tc:threadedComment ref="C16" dT="2026-01-18T18:37:49.00" personId="{ee601277-9f17-4212-a6f8-18b1a1fa75e6}" id="{2e2d0111-e00c-476b-b3ee-eb5b5cc2228f}" parentId="{9d6420aa-1764-4cf9-9d87-e8def7eb31ad}">
    <x18tc:text xml:space="preserve">maybe it's just me who likes to kill enemies at range with ranged damage instead of in melee :p</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6" dT="2026-01-18T15:44:17.00" personId="{ee601277-9f17-4212-a6f8-18b1a1fa75e6}" id="{737ca001-ca78-45a7-acc2-cfebd2af34be}" done="1">
    <x18tc:text xml:space="preserve">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x18tc:text>
  </x18tc:threadedComment>
  <x18tc:threadedComment ref="A16" dT="2026-01-18T16:38:06.00" personId="{9d465a26-362a-4e66-b7e9-eebccd0d45a8}" id="{5e3bd42f-3e36-4efb-9b4c-1d6fcb1c12fa}" parentId="{737ca001-ca78-45a7-acc2-cfebd2af34be}">
    <x18tc:text xml:space="preserve">Long bow already has snipe shot for picking enemies off, and shortbow's skill 4 is literally about creating isolated targets. Giving shortbow arctic blast would also mean it has skill 3 and 4 that basically do the same thing, which is lame.</x18tc:text>
  </x18tc:threadedComment>
  <x18tc:threadedComment ref="A16" dT="2026-01-18T17:39:51.00" personId="{ee601277-9f17-4212-a6f8-18b1a1fa75e6}" id="{95497e2f-ad1f-4488-ae63-c1ac92c39197}" parentId="{737ca001-ca78-45a7-acc2-cfebd2af34be}">
    <x18tc:text xml:space="preserve">but short bow can't pick enemies off since it has short range, that is why longbow is good at picking off stragglers, also you want to debuff a group of enemies to stop the from advancing so it would make sense to have shortbow have opportunism to finish those enemies off</x18tc:text>
  </x18tc:threadedComment>
  <x18tc:threadedComment ref="A16" dT="2026-01-18T19:21:36.00" personId="{9d465a26-362a-4e66-b7e9-eebccd0d45a8}" id="{59b9b5db-7f5a-478c-bb19-432084b31da5}" parentId="{737ca001-ca78-45a7-acc2-cfebd2af34be}">
    <x18tc:text xml:space="preserve">Shortbow has 8 base range, that is not low. It also has only 1 use of a debuff skill compared to longbow's 4.</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01-18T15:55:31.00" personId="{ee601277-9f17-4212-a6f8-18b1a1fa75e6}" id="{22475e90-fba5-43d4-8666-ea4f5d19e7aa}" done="1">
    <x18tc:text xml:space="preserve">I think it could reduce armor or resistance as well as move instead of extra damage</x18tc:text>
  </x18tc:threadedComment>
  <x18tc:threadedComment ref="C16" dT="2026-01-18T16:46:04.00" personId="{9d465a26-362a-4e66-b7e9-eebccd0d45a8}" id="{be897779-4b5a-4c8e-8c08-f5b4bde8f0ea}" parentId="{22475e90-fba5-43d4-8666-ea4f5d19e7aa}">
    <x18tc:text xml:space="preserve">This is only to compensate for the damage nerf really, I think the skill itself is fine. 10 targets is a lot.</x18tc:text>
  </x18tc:threadedComment>
  <x18tc:threadedComment ref="D16" dT="2026-01-18T16:00:36.00" personId="{ee601277-9f17-4212-a6f8-18b1a1fa75e6}" id="{0c0c036b-227a-4c91-b7ca-d3fd655084b8}" done="1">
    <x18tc:text xml:space="preserve">I would keep it at 1 use and high cost, just make sure it kills whatever it targets, with high damage, I would even say it should have high damage multiplayer and like 80-90% isolation + opportunitism effectiveness</x18tc:text>
  </x18tc:threadedComment>
  <x18tc:threadedComment ref="D16" dT="2026-01-18T16:48:57.00" personId="{9d465a26-362a-4e66-b7e9-eebccd0d45a8}" id="{28a71e81-3123-47c8-9d83-41bcf55b596b}" parentId="{0c0c036b-227a-4c91-b7ca-d3fd655084b8}">
    <x18tc:text xml:space="preserve">Keeping it 2 ap and 1 use Makes it far, far worse than the scroll variant. I intend to rework it into a high-effort, more costly but also a lot more damaging snipe shot, and making it 2 ap would just make it worse than snipe shot.</x18tc:text>
  </x18tc:threadedComment>
  <x18tc:threadedComment ref="D16" dT="2026-01-18T17:29:52.00" personId="{ee601277-9f17-4212-a6f8-18b1a1fa75e6}" id="{cd7c3a1f-c1c1-4c93-8b9e-86964a5f7aa3}" parentId="{0c0c036b-227a-4c91-b7ca-d3fd655084b8}">
    <x18tc:text xml:space="preserve">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x18tc:text>
  </x18tc:threadedComment>
  <x18tc:threadedComment ref="D16" dT="2026-01-18T19:15:23.00" personId="{9d465a26-362a-4e66-b7e9-eebccd0d45a8}" id="{b8659113-db1f-4a5e-a30e-34dc9f8fe7ae}" parentId="{0c0c036b-227a-4c91-b7ca-d3fd655084b8}">
    <x18tc:text xml:space="preserve">What do you mean prickle shot? It's a pretty major damage buff compared to what we had previously.
I think setting up assassination is pretty thematic personally, and that's where the heaviness can come from.</x18tc:text>
  </x18tc:threadedComment>
  <x18tc:threadedComment ref="A16" dT="2026-01-18T15:57:43.00" personId="{ee601277-9f17-4212-a6f8-18b1a1fa75e6}" id="{425cb8b1-24ad-4bf8-bbce-c6e715d1605d}" done="1">
    <x18tc:text xml:space="preserve">is this also instead of the new propagation?
I think undogeable makes sense since it's a high cost skill, maybe secondary targets for damage or debuff (armor/dodge/resistance)?</x18tc:text>
  </x18tc:threadedComment>
  <x18tc:threadedComment ref="A16" dT="2026-01-18T16:44:29.00" personId="{9d465a26-362a-4e66-b7e9-eebccd0d45a8}" id="{aaeb3725-98ce-4bf0-9bbd-72940a3cf0a5}" parentId="{425cb8b1-24ad-4bf8-bbce-c6e715d1605d}">
    <x18tc:text xml:space="preserve">No, it's with the new propagation, and the assumption that it loses the -prop damage debuff
I removed undodgeable to put it on assassinate, as it really needs it
I think armor piercing is a stronger modifier than undodgeable, especially for this skill</x18tc:text>
  </x18tc:threadedComment>
  <x18tc:threadedComment ref="B16" dT="2026-01-18T15:57:59.00" personId="{ee601277-9f17-4212-a6f8-18b1a1fa75e6}" id="{50fa229a-069b-4e6d-a846-9be291447939}" done="1">
    <x18tc:text xml:space="preserve">I think the opportunism fits here</x18tc:text>
  </x18tc:threadedComment>
  <x18tc:threadedComment ref="B16" dT="2026-01-18T16:45:26.00" personId="{9d465a26-362a-4e66-b7e9-eebccd0d45a8}" id="{131e1bd8-40b5-40e3-9baf-e81904647673}" parentId="{50fa229a-069b-4e6d-a846-9be291447939}">
    <x18tc:text xml:space="preserve">Maybe, but i put opportunism on assassinate instead. This is basically a strict buff, since 0.7 * 1.25 = 0.875</x18tc:text>
  </x18tc:threadedComment>
  <x18tc:threadedComment ref="B16" dT="2026-01-18T18:40:17.00" personId="{ee601277-9f17-4212-a6f8-18b1a1fa75e6}" id="{405beae2-a47e-4bcf-8c4e-6058e0a38c10}" parentId="{50fa229a-069b-4e6d-a846-9be291447939}">
    <x18tc:text xml:space="preserve">it can't have 2 sources of opportunitism like power staff?</x18tc:text>
  </x18tc:threadedComment>
  <x18tc:threadedComment ref="B16" dT="2026-01-18T19:25:30.00" personId="{9d465a26-362a-4e66-b7e9-eebccd0d45a8}" id="{0b288430-6688-46fb-880f-4b7c02384788}" parentId="{50fa229a-069b-4e6d-a846-9be291447939}">
    <x18tc:text xml:space="preserve">Power staff has 1 opp skill, only skill 3
It can have 2 anyway but I think it'll feel better with only 1.</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7" dT="2026-01-18T16:09:42.00" personId="{ee601277-9f17-4212-a6f8-18b1a1fa75e6}" id="{e64fc316-503d-46b3-8c2d-b4e2d189b055}" done="1">
    <x18tc:text xml:space="preserve">don't understand/unfinished
what if you removed damage from all skills, and have the perk deal damage to all stunned targets within range at the end of turn (when the boomerang  comes back)?</x18tc:text>
  </x18tc:threadedComment>
  <x18tc:threadedComment ref="D17" dT="2026-01-18T16:52:32.00" personId="{9d465a26-362a-4e66-b7e9-eebccd0d45a8}" id="{d37c5176-64e0-48a5-b127-9d8b62bf5022}" parentId="{e64fc316-503d-46b3-8c2d-b4e2d189b055}">
    <x18tc:text xml:space="preserve">My bad, was meant to be "After the hero stuns 3 enemies, boomerang's side tiles become main tiles"
I want to get rid of the ricochet entirely because it makes it feel like it plays the game for you. Removing damage from all skills would double down on that feeling.</x18tc:text>
  </x18tc:threadedComment>
  <x18tc:threadedComment ref="D17" dT="2026-01-18T18:36:18.00" personId="{ee601277-9f17-4212-a6f8-18b1a1fa75e6}" id="{72aa1ec4-43ff-4498-975d-d5ba4c7aa1bb}" parentId="{e64fc316-503d-46b3-8c2d-b4e2d189b055}">
    <x18tc:text xml:space="preserve">so you would have to use skill 1 before using skills 2 and 3 (if it's only 1 use that would be horrible?)
I don't know, doesn't sound exciting.
Also you remove multihit and propagation and not add anything, sounds weak.</x18tc:text>
  </x18tc:threadedComment>
  <x18tc:threadedComment ref="D17" dT="2026-01-18T19:34:58.00" personId="{9d465a26-362a-4e66-b7e9-eebccd0d45a8}" id="{44d44ff5-fe9d-43d8-9d4e-60c7d2df94de}" parentId="{e64fc316-503d-46b3-8c2d-b4e2d189b055}">
    <x18tc:text xml:space="preserve">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x18tc:text>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 dT="2026-01-18T16:12:45.00" personId="{ee601277-9f17-4212-a6f8-18b1a1fa75e6}" id="{a223575b-0eaf-4a2e-ae85-d66ee93b913a}" done="1">
    <x18tc:text xml:space="preserve">I would just make the buff skill have higher range, increase momentum and scale movement 2/3/4/5</x18tc:text>
  </x18tc:threadedComment>
  <x18tc:threadedComment ref="B18" dT="2026-01-18T16:56:30.00" personId="{9d465a26-362a-4e66-b7e9-eebccd0d45a8}" id="{b7d5902b-12eb-4c35-9623-428b44d9c933}" parentId="{a223575b-0eaf-4a2e-ae85-d66ee93b913a}">
    <x18tc:text xml:space="preserve">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x18tc:text>
  </x18tc:threadedComment>
</x18tc:ThreadedComments>
</file>

<file path=xl/threadedComments/threadedComment1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6" dT="2026-01-18T16:16:57.00" personId="{ee601277-9f17-4212-a6f8-18b1a1fa75e6}" id="{024fe04a-ca8b-416a-91a1-7a799dace23d}" done="1">
    <x18tc:text xml:space="preserve">not sure the change to skill 3 is enough maybe it should deal damage to the center tile,
still feels like skill 4 is too strong, and anti synergistic by dealing damage and applying poison</x18tc:text>
  </x18tc:threadedComment>
  <x18tc:threadedComment ref="D16" dT="2026-01-18T16:58:44.00" personId="{9d465a26-362a-4e66-b7e9-eebccd0d45a8}" id="{3f111af7-807a-4e38-a8d0-cfd4556a0259}" parentId="{024fe04a-ca8b-416a-91a1-7a799dace23d}">
    <x18tc:text xml:space="preserve">The skill 3 debuff is underrated, as demonstrated already by longbow's skill 2, it was just too expensive
I think bee sting is fine, Why do you think applying damage and poison is anti-synergistic? it's perfectly fine.</x18tc:text>
  </x18tc:threadedComment>
  <x18tc:threadedComment ref="D16" dT="2026-01-18T17:20:15.00" personId="{ee601277-9f17-4212-a6f8-18b1a1fa75e6}" id="{0c3accb5-d5ec-4478-bd1c-ed992de94380}" parentId="{024fe04a-ca8b-416a-91a1-7a799dace23d}">
    <x18tc:text xml:space="preserve">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x18tc:text>
  </x18tc:threadedComment>
  <x18tc:threadedComment ref="D16" dT="2026-01-18T17:29:49.00" personId="{9d465a26-362a-4e66-b7e9-eebccd0d45a8}" id="{d2409679-c65f-43e8-9c0a-c9d696b9f1ff}" parentId="{024fe04a-ca8b-416a-91a1-7a799dace23d}">
    <x18tc:text xml:space="preserve">That's less anti-synergy and more just normal lack of synergy. Some damage can get wasted but it's not harmful. Not every enemy has armor. It's also just common enough to not be a big deal.</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4.xml"/><Relationship Id="rId5" Type="http://schemas.openxmlformats.org/officeDocument/2006/relationships/vmlDrawing" Target="../drawings/vmlDrawing1.vml"/><Relationship Id="rId7"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7.xml"/><Relationship Id="rId5" Type="http://schemas.openxmlformats.org/officeDocument/2006/relationships/vmlDrawing" Target="../drawings/vmlDrawing2.vml"/><Relationship Id="rId7"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9.xml"/><Relationship Id="rId5" Type="http://schemas.openxmlformats.org/officeDocument/2006/relationships/vmlDrawing" Target="../drawings/vmlDrawing3.vml"/><Relationship Id="rId7"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10.xml"/><Relationship Id="rId5" Type="http://schemas.openxmlformats.org/officeDocument/2006/relationships/vmlDrawing" Target="../drawings/vmlDrawing4.vml"/><Relationship Id="rId7"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1.xml"/><Relationship Id="rId5" Type="http://schemas.openxmlformats.org/officeDocument/2006/relationships/vmlDrawing" Target="../drawings/vmlDrawing5.vml"/><Relationship Id="rId7"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3.xml"/><Relationship Id="rId5" Type="http://schemas.openxmlformats.org/officeDocument/2006/relationships/vmlDrawing" Target="../drawings/vmlDrawing6.vml"/><Relationship Id="rId7"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4.xml"/><Relationship Id="rId5" Type="http://schemas.openxmlformats.org/officeDocument/2006/relationships/vmlDrawing" Target="../drawings/vmlDrawing7.vml"/><Relationship Id="rId7"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5.xml"/><Relationship Id="rId5" Type="http://schemas.openxmlformats.org/officeDocument/2006/relationships/vmlDrawing" Target="../drawings/vmlDrawing8.vml"/><Relationship Id="rId7"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16.xml"/><Relationship Id="rId5" Type="http://schemas.openxmlformats.org/officeDocument/2006/relationships/vmlDrawing" Target="../drawings/vmlDrawing9.vml"/><Relationship Id="rId7"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drawing" Target="../drawings/drawing18.xml"/><Relationship Id="rId5" Type="http://schemas.openxmlformats.org/officeDocument/2006/relationships/vmlDrawing" Target="../drawings/vmlDrawing10.vml"/><Relationship Id="rId7"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1.xml"/><Relationship Id="rId2" Type="http://schemas.microsoft.com/office/2017/10/relationships/threadedComment" Target="../threadedComments/threadedComment11.xml"/><Relationship Id="rId3" Type="http://schemas.microsoft.com/office/2019/04/relationships/documenttask" Target="../documenttasks/documenttask11.xml"/><Relationship Id="rId4" Type="http://schemas.openxmlformats.org/officeDocument/2006/relationships/drawing" Target="../drawings/drawing20.xml"/><Relationship Id="rId5" Type="http://schemas.openxmlformats.org/officeDocument/2006/relationships/vmlDrawing" Target="../drawings/vmlDrawing11.vml"/><Relationship Id="rId7"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12.xml"/><Relationship Id="rId2" Type="http://schemas.microsoft.com/office/2017/10/relationships/threadedComment" Target="../threadedComments/threadedComment12.xml"/><Relationship Id="rId3" Type="http://schemas.microsoft.com/office/2019/04/relationships/documenttask" Target="../documenttasks/documenttask12.xml"/><Relationship Id="rId4" Type="http://schemas.openxmlformats.org/officeDocument/2006/relationships/drawing" Target="../drawings/drawing22.xml"/><Relationship Id="rId5" Type="http://schemas.openxmlformats.org/officeDocument/2006/relationships/vmlDrawing" Target="../drawings/vmlDrawing12.vml"/><Relationship Id="rId7"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 Id="rId3"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13.xml"/><Relationship Id="rId2" Type="http://schemas.microsoft.com/office/2017/10/relationships/threadedComment" Target="../threadedComments/threadedComment13.xml"/><Relationship Id="rId3" Type="http://schemas.microsoft.com/office/2019/04/relationships/documenttask" Target="../documenttasks/documenttask13.xml"/><Relationship Id="rId4" Type="http://schemas.openxmlformats.org/officeDocument/2006/relationships/drawing" Target="../drawings/drawing26.xml"/><Relationship Id="rId5" Type="http://schemas.openxmlformats.org/officeDocument/2006/relationships/vmlDrawing" Target="../drawings/vmlDrawing13.vml"/><Relationship Id="rId7"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 Id="rId3"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4.0"/>
    <col customWidth="1" min="3" max="3" width="18.25"/>
    <col customWidth="1" min="4" max="4" width="17.63"/>
    <col customWidth="1" min="5" max="5" width="16.63"/>
    <col customWidth="1" min="6" max="6" width="14.88"/>
    <col customWidth="1" min="7" max="7" width="19.25"/>
    <col customWidth="1" min="8" max="8" width="17.88"/>
    <col customWidth="1" min="10" max="10" width="15.13"/>
    <col customWidth="1" min="12" max="12" width="20.75"/>
    <col customWidth="1" min="16" max="16" width="15.75"/>
    <col customWidth="1" min="17" max="17" width="17.13"/>
  </cols>
  <sheetData>
    <row r="3">
      <c r="A3" s="1" t="s">
        <v>0</v>
      </c>
    </row>
    <row r="8" ht="22.5" customHeight="1">
      <c r="A8" s="2" t="s">
        <v>1</v>
      </c>
      <c r="B8" s="2" t="s">
        <v>2</v>
      </c>
      <c r="C8" s="2" t="s">
        <v>3</v>
      </c>
      <c r="D8" s="2" t="s">
        <v>4</v>
      </c>
      <c r="E8" s="2" t="s">
        <v>5</v>
      </c>
      <c r="F8" s="2" t="s">
        <v>6</v>
      </c>
      <c r="G8" s="2" t="s">
        <v>7</v>
      </c>
      <c r="H8" s="2" t="s">
        <v>8</v>
      </c>
      <c r="I8" s="2" t="s">
        <v>9</v>
      </c>
      <c r="J8" s="2" t="s">
        <v>10</v>
      </c>
      <c r="K8" s="2" t="s">
        <v>11</v>
      </c>
      <c r="L8" s="3" t="s">
        <v>12</v>
      </c>
      <c r="M8" s="2" t="s">
        <v>13</v>
      </c>
      <c r="N8" s="2" t="s">
        <v>14</v>
      </c>
      <c r="O8" s="2" t="s">
        <v>15</v>
      </c>
      <c r="P8" s="2" t="s">
        <v>16</v>
      </c>
      <c r="Q8" s="2" t="s">
        <v>17</v>
      </c>
      <c r="R8" s="2" t="s">
        <v>18</v>
      </c>
    </row>
    <row r="9" ht="22.5" customHeight="1">
      <c r="A9" s="4">
        <v>0.0</v>
      </c>
      <c r="B9" s="4">
        <v>5.0</v>
      </c>
      <c r="C9" s="4">
        <v>6.0</v>
      </c>
      <c r="D9" s="4">
        <v>6.0</v>
      </c>
      <c r="E9" s="4">
        <v>6.0</v>
      </c>
      <c r="F9" s="4">
        <v>10.0</v>
      </c>
      <c r="G9" s="4" t="s">
        <v>19</v>
      </c>
      <c r="H9" s="4" t="s">
        <v>20</v>
      </c>
      <c r="I9" s="4">
        <v>15.0</v>
      </c>
      <c r="J9" s="4">
        <v>7.0</v>
      </c>
      <c r="K9" s="4">
        <v>10.0</v>
      </c>
      <c r="L9" s="4">
        <v>7.0</v>
      </c>
      <c r="M9" s="4">
        <v>6.0</v>
      </c>
      <c r="N9" s="4">
        <v>7.0</v>
      </c>
      <c r="O9" s="4">
        <v>6.0</v>
      </c>
      <c r="P9" s="4">
        <v>15.0</v>
      </c>
      <c r="Q9" s="4">
        <v>15.0</v>
      </c>
      <c r="R9" s="4">
        <v>15.0</v>
      </c>
    </row>
    <row r="10" ht="22.5" customHeight="1">
      <c r="A10" s="4">
        <v>1.0</v>
      </c>
      <c r="B10" s="4">
        <v>6.0</v>
      </c>
      <c r="C10" s="4">
        <v>7.0</v>
      </c>
      <c r="D10" s="4">
        <v>7.0</v>
      </c>
      <c r="E10" s="4">
        <v>7.0</v>
      </c>
      <c r="F10" s="4">
        <v>12.0</v>
      </c>
      <c r="G10" s="4" t="s">
        <v>21</v>
      </c>
      <c r="H10" s="4" t="s">
        <v>22</v>
      </c>
      <c r="I10" s="4">
        <v>18.0</v>
      </c>
      <c r="J10" s="4">
        <v>8.0</v>
      </c>
      <c r="K10" s="4">
        <v>12.0</v>
      </c>
      <c r="L10" s="4">
        <v>8.0</v>
      </c>
      <c r="M10" s="4">
        <v>7.0</v>
      </c>
      <c r="N10" s="4">
        <v>8.0</v>
      </c>
      <c r="O10" s="4">
        <v>7.0</v>
      </c>
      <c r="P10" s="4">
        <v>18.0</v>
      </c>
      <c r="Q10" s="4">
        <v>18.0</v>
      </c>
      <c r="R10" s="4">
        <v>18.0</v>
      </c>
    </row>
    <row r="11" ht="22.5" customHeight="1">
      <c r="A11" s="4">
        <v>2.0</v>
      </c>
      <c r="B11" s="4">
        <v>7.0</v>
      </c>
      <c r="C11" s="4">
        <v>8.0</v>
      </c>
      <c r="D11" s="4">
        <v>8.0</v>
      </c>
      <c r="E11" s="4">
        <v>8.0</v>
      </c>
      <c r="F11" s="4">
        <v>14.0</v>
      </c>
      <c r="G11" s="4" t="s">
        <v>23</v>
      </c>
      <c r="H11" s="4" t="s">
        <v>24</v>
      </c>
      <c r="I11" s="4">
        <v>21.0</v>
      </c>
      <c r="J11" s="4">
        <v>9.0</v>
      </c>
      <c r="K11" s="4">
        <v>14.0</v>
      </c>
      <c r="L11" s="4">
        <v>9.0</v>
      </c>
      <c r="M11" s="4">
        <v>8.0</v>
      </c>
      <c r="N11" s="4">
        <v>9.0</v>
      </c>
      <c r="O11" s="4">
        <v>8.0</v>
      </c>
      <c r="P11" s="4">
        <v>21.0</v>
      </c>
      <c r="Q11" s="4">
        <v>21.0</v>
      </c>
      <c r="R11" s="4">
        <v>21.0</v>
      </c>
    </row>
    <row r="12" ht="22.5" customHeight="1">
      <c r="A12" s="4">
        <v>3.0</v>
      </c>
      <c r="B12" s="4">
        <v>8.0</v>
      </c>
      <c r="C12" s="4">
        <v>9.0</v>
      </c>
      <c r="D12" s="4">
        <v>9.0</v>
      </c>
      <c r="E12" s="4">
        <v>9.0</v>
      </c>
      <c r="F12" s="4">
        <v>16.0</v>
      </c>
      <c r="G12" s="4" t="s">
        <v>25</v>
      </c>
      <c r="H12" s="4" t="s">
        <v>26</v>
      </c>
      <c r="I12" s="4">
        <v>24.0</v>
      </c>
      <c r="J12" s="4">
        <v>10.0</v>
      </c>
      <c r="K12" s="4">
        <v>16.0</v>
      </c>
      <c r="L12" s="4">
        <v>11.0</v>
      </c>
      <c r="M12" s="4">
        <v>9.0</v>
      </c>
      <c r="N12" s="4">
        <v>11.0</v>
      </c>
      <c r="O12" s="4">
        <v>9.0</v>
      </c>
      <c r="P12" s="4">
        <v>24.0</v>
      </c>
      <c r="Q12" s="4">
        <v>24.0</v>
      </c>
      <c r="R12" s="4">
        <v>24.0</v>
      </c>
    </row>
    <row r="13" ht="22.5" customHeight="1">
      <c r="A13" s="4">
        <v>4.0</v>
      </c>
      <c r="B13" s="4">
        <v>9.0</v>
      </c>
      <c r="C13" s="4">
        <v>10.0</v>
      </c>
      <c r="D13" s="4">
        <v>10.0</v>
      </c>
      <c r="E13" s="4">
        <v>10.0</v>
      </c>
      <c r="F13" s="4">
        <v>18.0</v>
      </c>
      <c r="G13" s="4" t="s">
        <v>27</v>
      </c>
      <c r="H13" s="4" t="s">
        <v>28</v>
      </c>
      <c r="I13" s="4">
        <v>27.0</v>
      </c>
      <c r="J13" s="4">
        <v>11.0</v>
      </c>
      <c r="K13" s="4">
        <v>18.0</v>
      </c>
      <c r="L13" s="4">
        <v>13.0</v>
      </c>
      <c r="M13" s="4">
        <v>10.0</v>
      </c>
      <c r="N13" s="4">
        <v>13.0</v>
      </c>
      <c r="O13" s="4">
        <v>10.0</v>
      </c>
      <c r="P13" s="4">
        <v>27.0</v>
      </c>
      <c r="Q13" s="4">
        <v>27.0</v>
      </c>
      <c r="R13" s="4">
        <v>27.0</v>
      </c>
    </row>
    <row r="14" ht="22.5" customHeight="1">
      <c r="A14" s="4">
        <v>5.0</v>
      </c>
      <c r="B14" s="4">
        <v>10.0</v>
      </c>
      <c r="C14" s="4">
        <v>12.0</v>
      </c>
      <c r="D14" s="4">
        <v>12.0</v>
      </c>
      <c r="E14" s="4">
        <v>12.0</v>
      </c>
      <c r="F14" s="4">
        <v>20.0</v>
      </c>
      <c r="G14" s="4" t="s">
        <v>29</v>
      </c>
      <c r="H14" s="4" t="s">
        <v>30</v>
      </c>
      <c r="I14" s="4">
        <v>30.0</v>
      </c>
      <c r="J14" s="4">
        <v>12.0</v>
      </c>
      <c r="K14" s="4">
        <v>20.0</v>
      </c>
      <c r="L14" s="4">
        <v>15.0</v>
      </c>
      <c r="M14" s="4">
        <v>12.0</v>
      </c>
      <c r="N14" s="4">
        <v>15.0</v>
      </c>
      <c r="O14" s="4">
        <v>12.0</v>
      </c>
      <c r="P14" s="4">
        <v>30.0</v>
      </c>
      <c r="Q14" s="4">
        <v>30.0</v>
      </c>
      <c r="R14" s="4">
        <v>30.0</v>
      </c>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21.5"/>
    <col customWidth="1" min="4" max="4" width="19.13"/>
    <col customWidth="1" min="8" max="8" width="18.13"/>
    <col customWidth="1" min="9" max="9" width="18.88"/>
    <col customWidth="1" min="10" max="10" width="17.0"/>
    <col customWidth="1" min="12" max="12" width="18.13"/>
    <col customWidth="1" min="13" max="13" width="16.88"/>
    <col customWidth="1" min="17" max="17" width="22.25"/>
    <col customWidth="1" min="18" max="18" width="14.75"/>
    <col customWidth="1" min="22" max="22" width="15.13"/>
    <col customWidth="1" min="23" max="23" width="13.38"/>
  </cols>
  <sheetData>
    <row r="3">
      <c r="A3" s="1" t="s">
        <v>31</v>
      </c>
    </row>
    <row r="4">
      <c r="A4" s="1"/>
    </row>
    <row r="8" ht="22.5" customHeight="1">
      <c r="A8" s="2" t="s">
        <v>1</v>
      </c>
      <c r="B8" s="3" t="s">
        <v>32</v>
      </c>
      <c r="C8" s="3" t="s">
        <v>33</v>
      </c>
      <c r="D8" s="3" t="s">
        <v>34</v>
      </c>
      <c r="E8" s="3" t="s">
        <v>35</v>
      </c>
      <c r="F8" s="3" t="s">
        <v>36</v>
      </c>
      <c r="G8" s="2" t="s">
        <v>2</v>
      </c>
      <c r="H8" s="2" t="s">
        <v>3</v>
      </c>
      <c r="I8" s="2" t="s">
        <v>4</v>
      </c>
      <c r="J8" s="2" t="s">
        <v>5</v>
      </c>
      <c r="K8" s="2" t="s">
        <v>6</v>
      </c>
      <c r="L8" s="2" t="s">
        <v>7</v>
      </c>
      <c r="M8" s="2" t="s">
        <v>8</v>
      </c>
      <c r="N8" s="2" t="s">
        <v>9</v>
      </c>
      <c r="O8" s="2" t="s">
        <v>10</v>
      </c>
      <c r="P8" s="2" t="s">
        <v>11</v>
      </c>
      <c r="Q8" s="3" t="s">
        <v>12</v>
      </c>
      <c r="R8" s="2" t="s">
        <v>13</v>
      </c>
      <c r="S8" s="2" t="s">
        <v>14</v>
      </c>
      <c r="T8" s="2" t="s">
        <v>15</v>
      </c>
      <c r="U8" s="2" t="s">
        <v>16</v>
      </c>
      <c r="V8" s="2" t="s">
        <v>17</v>
      </c>
      <c r="W8" s="2" t="s">
        <v>18</v>
      </c>
    </row>
    <row r="9" ht="22.5" customHeight="1">
      <c r="A9" s="4">
        <v>0.0</v>
      </c>
      <c r="B9" s="4">
        <v>1.0</v>
      </c>
      <c r="C9" s="4">
        <v>4.0</v>
      </c>
      <c r="D9" s="4" t="s">
        <v>37</v>
      </c>
      <c r="E9" s="4">
        <v>1.0</v>
      </c>
      <c r="F9" s="4" t="s">
        <v>38</v>
      </c>
      <c r="G9" s="4">
        <v>8.0</v>
      </c>
      <c r="H9" s="4">
        <v>8.0</v>
      </c>
      <c r="I9" s="4">
        <v>8.0</v>
      </c>
      <c r="J9" s="4">
        <v>8.0</v>
      </c>
      <c r="K9" s="4">
        <v>15.0</v>
      </c>
      <c r="L9" s="4" t="s">
        <v>39</v>
      </c>
      <c r="M9" s="4" t="s">
        <v>40</v>
      </c>
      <c r="N9" s="4">
        <v>25.0</v>
      </c>
      <c r="O9" s="4">
        <v>11.0</v>
      </c>
      <c r="P9" s="4">
        <v>15.0</v>
      </c>
      <c r="Q9" s="4">
        <v>11.0</v>
      </c>
      <c r="R9" s="4">
        <v>9.0</v>
      </c>
      <c r="S9" s="4">
        <v>11.0</v>
      </c>
      <c r="T9" s="4">
        <v>9.0</v>
      </c>
      <c r="U9" s="4">
        <v>25.0</v>
      </c>
      <c r="V9" s="4">
        <v>25.0</v>
      </c>
      <c r="W9" s="4">
        <v>25.0</v>
      </c>
    </row>
    <row r="10" ht="22.5" customHeight="1">
      <c r="A10" s="4">
        <v>1.0</v>
      </c>
      <c r="B10" s="4">
        <v>1.0</v>
      </c>
      <c r="C10" s="4">
        <v>4.0</v>
      </c>
      <c r="D10" s="4" t="s">
        <v>41</v>
      </c>
      <c r="E10" s="4">
        <v>1.0</v>
      </c>
      <c r="F10" s="4" t="s">
        <v>42</v>
      </c>
      <c r="G10" s="4">
        <v>9.0</v>
      </c>
      <c r="H10" s="4">
        <v>9.0</v>
      </c>
      <c r="I10" s="4">
        <v>9.0</v>
      </c>
      <c r="J10" s="4">
        <v>9.0</v>
      </c>
      <c r="K10" s="4">
        <v>18.0</v>
      </c>
      <c r="L10" s="4" t="s">
        <v>43</v>
      </c>
      <c r="M10" s="4" t="s">
        <v>44</v>
      </c>
      <c r="N10" s="4">
        <v>30.0</v>
      </c>
      <c r="O10" s="4">
        <v>13.0</v>
      </c>
      <c r="P10" s="4">
        <v>18.0</v>
      </c>
      <c r="Q10" s="4">
        <v>13.0</v>
      </c>
      <c r="R10" s="4">
        <v>10.0</v>
      </c>
      <c r="S10" s="4">
        <v>13.0</v>
      </c>
      <c r="T10" s="4">
        <v>10.0</v>
      </c>
      <c r="U10" s="4">
        <v>30.0</v>
      </c>
      <c r="V10" s="4">
        <v>30.0</v>
      </c>
      <c r="W10" s="4">
        <v>30.0</v>
      </c>
    </row>
    <row r="11" ht="22.5" customHeight="1">
      <c r="A11" s="4">
        <v>2.0</v>
      </c>
      <c r="B11" s="4">
        <v>1.0</v>
      </c>
      <c r="C11" s="4">
        <v>5.0</v>
      </c>
      <c r="D11" s="4" t="s">
        <v>45</v>
      </c>
      <c r="E11" s="4">
        <v>1.0</v>
      </c>
      <c r="F11" s="4" t="s">
        <v>46</v>
      </c>
      <c r="G11" s="4">
        <v>10.0</v>
      </c>
      <c r="H11" s="4">
        <v>10.0</v>
      </c>
      <c r="I11" s="4">
        <v>10.0</v>
      </c>
      <c r="J11" s="4">
        <v>10.0</v>
      </c>
      <c r="K11" s="4">
        <v>21.0</v>
      </c>
      <c r="L11" s="4" t="s">
        <v>47</v>
      </c>
      <c r="M11" s="4" t="s">
        <v>48</v>
      </c>
      <c r="N11" s="4">
        <v>35.0</v>
      </c>
      <c r="O11" s="4">
        <v>15.0</v>
      </c>
      <c r="P11" s="4">
        <v>21.0</v>
      </c>
      <c r="Q11" s="4">
        <v>15.0</v>
      </c>
      <c r="R11" s="4">
        <v>12.0</v>
      </c>
      <c r="S11" s="4">
        <v>15.0</v>
      </c>
      <c r="T11" s="4">
        <v>12.0</v>
      </c>
      <c r="U11" s="4">
        <v>35.0</v>
      </c>
      <c r="V11" s="4">
        <v>35.0</v>
      </c>
      <c r="W11" s="4">
        <v>35.0</v>
      </c>
    </row>
    <row r="12" ht="22.5" customHeight="1">
      <c r="A12" s="4">
        <v>3.0</v>
      </c>
      <c r="B12" s="4">
        <v>2.0</v>
      </c>
      <c r="C12" s="4">
        <v>6.0</v>
      </c>
      <c r="D12" s="4" t="s">
        <v>49</v>
      </c>
      <c r="E12" s="4">
        <v>2.0</v>
      </c>
      <c r="F12" s="4" t="s">
        <v>50</v>
      </c>
      <c r="G12" s="4">
        <v>12.0</v>
      </c>
      <c r="H12" s="4">
        <v>12.0</v>
      </c>
      <c r="I12" s="4">
        <v>12.0</v>
      </c>
      <c r="J12" s="4">
        <v>12.0</v>
      </c>
      <c r="K12" s="4">
        <v>24.0</v>
      </c>
      <c r="L12" s="4" t="s">
        <v>51</v>
      </c>
      <c r="M12" s="4" t="s">
        <v>52</v>
      </c>
      <c r="N12" s="4">
        <v>40.0</v>
      </c>
      <c r="O12" s="4">
        <v>17.0</v>
      </c>
      <c r="P12" s="4">
        <v>24.0</v>
      </c>
      <c r="Q12" s="4">
        <v>17.0</v>
      </c>
      <c r="R12" s="4">
        <v>14.0</v>
      </c>
      <c r="S12" s="4">
        <v>17.0</v>
      </c>
      <c r="T12" s="4">
        <v>14.0</v>
      </c>
      <c r="U12" s="4">
        <v>40.0</v>
      </c>
      <c r="V12" s="4">
        <v>40.0</v>
      </c>
      <c r="W12" s="4">
        <v>40.0</v>
      </c>
    </row>
    <row r="13" ht="22.5" customHeight="1">
      <c r="A13" s="4">
        <v>4.0</v>
      </c>
      <c r="B13" s="4">
        <v>2.0</v>
      </c>
      <c r="C13" s="4">
        <v>7.0</v>
      </c>
      <c r="D13" s="4" t="s">
        <v>53</v>
      </c>
      <c r="E13" s="4">
        <v>2.0</v>
      </c>
      <c r="F13" s="4" t="s">
        <v>54</v>
      </c>
      <c r="G13" s="4">
        <v>14.0</v>
      </c>
      <c r="H13" s="4">
        <v>14.0</v>
      </c>
      <c r="I13" s="4">
        <v>14.0</v>
      </c>
      <c r="J13" s="4">
        <v>14.0</v>
      </c>
      <c r="K13" s="4">
        <v>27.0</v>
      </c>
      <c r="L13" s="4" t="s">
        <v>55</v>
      </c>
      <c r="M13" s="4" t="s">
        <v>56</v>
      </c>
      <c r="N13" s="4">
        <v>45.0</v>
      </c>
      <c r="O13" s="4">
        <v>19.0</v>
      </c>
      <c r="P13" s="4">
        <v>27.0</v>
      </c>
      <c r="Q13" s="4">
        <v>19.0</v>
      </c>
      <c r="R13" s="4">
        <v>16.0</v>
      </c>
      <c r="S13" s="4">
        <v>19.0</v>
      </c>
      <c r="T13" s="4">
        <v>16.0</v>
      </c>
      <c r="U13" s="4">
        <v>45.0</v>
      </c>
      <c r="V13" s="4">
        <v>45.0</v>
      </c>
      <c r="W13" s="4">
        <v>45.0</v>
      </c>
    </row>
    <row r="14" ht="22.5" customHeight="1">
      <c r="A14" s="4">
        <v>5.0</v>
      </c>
      <c r="B14" s="4">
        <v>2.0</v>
      </c>
      <c r="C14" s="4">
        <v>8.0</v>
      </c>
      <c r="D14" s="4" t="s">
        <v>57</v>
      </c>
      <c r="E14" s="4">
        <v>2.0</v>
      </c>
      <c r="F14" s="4" t="s">
        <v>58</v>
      </c>
      <c r="G14" s="4">
        <v>16.0</v>
      </c>
      <c r="H14" s="4">
        <v>16.0</v>
      </c>
      <c r="I14" s="4">
        <v>16.0</v>
      </c>
      <c r="J14" s="4">
        <v>16.0</v>
      </c>
      <c r="K14" s="4">
        <v>30.0</v>
      </c>
      <c r="L14" s="4" t="s">
        <v>59</v>
      </c>
      <c r="M14" s="4" t="s">
        <v>60</v>
      </c>
      <c r="N14" s="4">
        <v>50.0</v>
      </c>
      <c r="O14" s="4">
        <v>22.0</v>
      </c>
      <c r="P14" s="4">
        <v>30.0</v>
      </c>
      <c r="Q14" s="4">
        <v>22.0</v>
      </c>
      <c r="R14" s="4">
        <v>18.0</v>
      </c>
      <c r="S14" s="4">
        <v>22.0</v>
      </c>
      <c r="T14" s="4">
        <v>18.0</v>
      </c>
      <c r="U14" s="4">
        <v>50.0</v>
      </c>
      <c r="V14" s="4">
        <v>50.0</v>
      </c>
      <c r="W14" s="4">
        <v>50.0</v>
      </c>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6" width="2.75"/>
    <col customWidth="1" min="17" max="17"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13.5" customHeight="1">
      <c r="A6" s="10">
        <v>-1.0</v>
      </c>
      <c r="B6" s="10">
        <v>61.0</v>
      </c>
      <c r="C6" s="10">
        <v>75.0</v>
      </c>
      <c r="D6" s="11">
        <f t="shared" ref="D6:D12" si="1">AVERAGE(B6:C6)</f>
        <v>68</v>
      </c>
      <c r="E6" s="10">
        <f t="shared" ref="E6:E12" si="2">ROUND(F6*H6,0)</f>
        <v>65</v>
      </c>
      <c r="F6" s="10">
        <f>ROUND(F7 * 0.9,0)</f>
        <v>81</v>
      </c>
      <c r="G6" s="10">
        <f t="shared" ref="G6:G12" si="3">AVERAGE(E6:F6)</f>
        <v>73</v>
      </c>
      <c r="H6" s="10">
        <v>0.8</v>
      </c>
    </row>
    <row r="7" ht="13.5" customHeight="1">
      <c r="A7" s="10">
        <v>0.0</v>
      </c>
      <c r="B7" s="10">
        <v>65.0</v>
      </c>
      <c r="C7" s="10">
        <v>80.0</v>
      </c>
      <c r="D7" s="11">
        <f t="shared" si="1"/>
        <v>72.5</v>
      </c>
      <c r="E7" s="10">
        <f t="shared" si="2"/>
        <v>72</v>
      </c>
      <c r="F7" s="10">
        <v>90.0</v>
      </c>
      <c r="G7" s="10">
        <f t="shared" si="3"/>
        <v>81</v>
      </c>
      <c r="H7" s="10">
        <v>0.8</v>
      </c>
    </row>
    <row r="8" ht="13.5" customHeight="1">
      <c r="A8" s="10">
        <v>1.0</v>
      </c>
      <c r="B8" s="10">
        <v>73.0</v>
      </c>
      <c r="C8" s="10">
        <v>90.0</v>
      </c>
      <c r="D8" s="11">
        <f t="shared" si="1"/>
        <v>81.5</v>
      </c>
      <c r="E8" s="10">
        <f t="shared" si="2"/>
        <v>79</v>
      </c>
      <c r="F8" s="10">
        <f t="shared" ref="F8:F12" si="4">ROUND(F7*1.1,0)</f>
        <v>99</v>
      </c>
      <c r="G8" s="10">
        <f t="shared" si="3"/>
        <v>89</v>
      </c>
      <c r="H8" s="10">
        <v>0.8</v>
      </c>
      <c r="I8" s="12"/>
      <c r="J8" s="1"/>
    </row>
    <row r="9" ht="13.5" customHeight="1">
      <c r="A9" s="10">
        <v>2.0</v>
      </c>
      <c r="B9" s="10">
        <v>82.0</v>
      </c>
      <c r="C9" s="10">
        <v>101.0</v>
      </c>
      <c r="D9" s="11">
        <f t="shared" si="1"/>
        <v>91.5</v>
      </c>
      <c r="E9" s="10">
        <f t="shared" si="2"/>
        <v>87</v>
      </c>
      <c r="F9" s="10">
        <f t="shared" si="4"/>
        <v>109</v>
      </c>
      <c r="G9" s="10">
        <f t="shared" si="3"/>
        <v>98</v>
      </c>
      <c r="H9" s="10">
        <v>0.8</v>
      </c>
      <c r="I9" s="1"/>
    </row>
    <row r="10" ht="13.5" customHeight="1">
      <c r="A10" s="10">
        <v>3.0</v>
      </c>
      <c r="B10" s="10">
        <v>92.0</v>
      </c>
      <c r="C10" s="10">
        <v>113.0</v>
      </c>
      <c r="D10" s="11">
        <f t="shared" si="1"/>
        <v>102.5</v>
      </c>
      <c r="E10" s="10">
        <f t="shared" si="2"/>
        <v>96</v>
      </c>
      <c r="F10" s="10">
        <f t="shared" si="4"/>
        <v>120</v>
      </c>
      <c r="G10" s="10">
        <f t="shared" si="3"/>
        <v>108</v>
      </c>
      <c r="H10" s="10">
        <v>0.8</v>
      </c>
    </row>
    <row r="11" ht="13.5" customHeight="1">
      <c r="A11" s="10">
        <v>4.0</v>
      </c>
      <c r="B11" s="10">
        <v>103.0</v>
      </c>
      <c r="C11" s="10">
        <v>127.0</v>
      </c>
      <c r="D11" s="11">
        <f t="shared" si="1"/>
        <v>115</v>
      </c>
      <c r="E11" s="10">
        <f t="shared" si="2"/>
        <v>106</v>
      </c>
      <c r="F11" s="10">
        <f t="shared" si="4"/>
        <v>132</v>
      </c>
      <c r="G11" s="10">
        <f t="shared" si="3"/>
        <v>119</v>
      </c>
      <c r="H11" s="10">
        <v>0.8</v>
      </c>
    </row>
    <row r="12" ht="13.5" customHeight="1">
      <c r="A12" s="10">
        <v>5.0</v>
      </c>
      <c r="B12" s="10">
        <v>115.0</v>
      </c>
      <c r="C12" s="10">
        <v>142.0</v>
      </c>
      <c r="D12" s="11">
        <f t="shared" si="1"/>
        <v>128.5</v>
      </c>
      <c r="E12" s="10">
        <f t="shared" si="2"/>
        <v>116</v>
      </c>
      <c r="F12" s="10">
        <f t="shared" si="4"/>
        <v>145</v>
      </c>
      <c r="G12" s="10">
        <f t="shared" si="3"/>
        <v>130.5</v>
      </c>
      <c r="H12" s="10">
        <v>0.8</v>
      </c>
    </row>
    <row r="13">
      <c r="K13" s="13"/>
    </row>
    <row r="14">
      <c r="K14" s="13"/>
    </row>
    <row r="15">
      <c r="A15" s="6" t="s">
        <v>70</v>
      </c>
      <c r="B15" s="7"/>
      <c r="C15" s="8"/>
      <c r="K15" s="13"/>
    </row>
    <row r="16">
      <c r="A16" s="5" t="s">
        <v>71</v>
      </c>
      <c r="B16" s="5" t="s">
        <v>72</v>
      </c>
      <c r="C16" s="5" t="s">
        <v>73</v>
      </c>
      <c r="K16" s="13"/>
    </row>
    <row r="17">
      <c r="A17" s="5" t="s">
        <v>74</v>
      </c>
      <c r="B17" s="14" t="s">
        <v>75</v>
      </c>
      <c r="C17" s="14" t="s">
        <v>76</v>
      </c>
      <c r="K17" s="13"/>
    </row>
    <row r="18">
      <c r="K18" s="13"/>
    </row>
    <row r="20">
      <c r="A20" s="1" t="s">
        <v>77</v>
      </c>
    </row>
    <row r="21">
      <c r="A21" s="1" t="s">
        <v>78</v>
      </c>
      <c r="B21" s="1" t="s">
        <v>79</v>
      </c>
      <c r="C21" s="1" t="s">
        <v>80</v>
      </c>
      <c r="D21" s="1" t="s">
        <v>81</v>
      </c>
    </row>
    <row r="22">
      <c r="A22" s="1" t="s">
        <v>2</v>
      </c>
      <c r="B22" s="1" t="s">
        <v>3</v>
      </c>
      <c r="C22" s="1" t="s">
        <v>35</v>
      </c>
      <c r="D22" s="1" t="s">
        <v>82</v>
      </c>
    </row>
  </sheetData>
  <mergeCells count="3">
    <mergeCell ref="B3:G3"/>
    <mergeCell ref="I11:M11"/>
    <mergeCell ref="A15:C15"/>
  </mergeCell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0.5"/>
    <col customWidth="1" min="3" max="3" width="17.75"/>
    <col customWidth="1" min="4" max="4" width="17.25"/>
    <col customWidth="1" min="5" max="5" width="18.13"/>
    <col customWidth="1" min="6" max="6" width="18.5"/>
    <col customWidth="1" min="7" max="7" width="25.63"/>
    <col customWidth="1" min="10" max="10" width="28.88"/>
    <col customWidth="1" min="11" max="11" width="16.25"/>
    <col customWidth="1" min="12" max="12" width="2.75"/>
    <col customWidth="1" min="13" max="13" width="2.5"/>
    <col customWidth="1" min="14" max="14" width="2.63"/>
    <col customWidth="1" min="15" max="16" width="3.13"/>
  </cols>
  <sheetData>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117.0</v>
      </c>
      <c r="C6" s="10">
        <v>136.0</v>
      </c>
      <c r="D6" s="11">
        <f t="shared" ref="D6:D12" si="1">AVERAGE(B6:C6)</f>
        <v>126.5</v>
      </c>
      <c r="E6" s="10">
        <f t="shared" ref="E6:E12" si="2">ROUND(F6*H6,0)</f>
        <v>108</v>
      </c>
      <c r="F6" s="10">
        <f>ROUND(F7 * 0.9,0)</f>
        <v>135</v>
      </c>
      <c r="G6" s="10">
        <f t="shared" ref="G6:G12" si="3">AVERAGE(E6:F6)</f>
        <v>121.5</v>
      </c>
      <c r="H6" s="10">
        <v>0.8</v>
      </c>
    </row>
    <row r="7" ht="22.5" customHeight="1">
      <c r="A7" s="10">
        <v>0.0</v>
      </c>
      <c r="B7" s="10">
        <v>124.0</v>
      </c>
      <c r="C7" s="10">
        <v>144.0</v>
      </c>
      <c r="D7" s="11">
        <f t="shared" si="1"/>
        <v>134</v>
      </c>
      <c r="E7" s="10">
        <f t="shared" si="2"/>
        <v>120</v>
      </c>
      <c r="F7" s="10">
        <v>150.0</v>
      </c>
      <c r="G7" s="10">
        <f t="shared" si="3"/>
        <v>135</v>
      </c>
      <c r="H7" s="10">
        <v>0.8</v>
      </c>
    </row>
    <row r="8" ht="22.5" customHeight="1">
      <c r="A8" s="10">
        <v>1.0</v>
      </c>
      <c r="B8" s="10">
        <v>139.0</v>
      </c>
      <c r="C8" s="10">
        <v>161.0</v>
      </c>
      <c r="D8" s="11">
        <f t="shared" si="1"/>
        <v>150</v>
      </c>
      <c r="E8" s="10">
        <f t="shared" si="2"/>
        <v>132</v>
      </c>
      <c r="F8" s="10">
        <f t="shared" ref="F8:F12" si="4">ROUND(F7*1.1,0)</f>
        <v>165</v>
      </c>
      <c r="G8" s="10">
        <f t="shared" si="3"/>
        <v>148.5</v>
      </c>
      <c r="H8" s="10">
        <v>0.8</v>
      </c>
      <c r="K8" s="12"/>
      <c r="L8" s="1"/>
    </row>
    <row r="9" ht="22.5" customHeight="1">
      <c r="A9" s="10">
        <v>2.0</v>
      </c>
      <c r="B9" s="10">
        <v>156.0</v>
      </c>
      <c r="C9" s="10">
        <v>180.0</v>
      </c>
      <c r="D9" s="11">
        <f t="shared" si="1"/>
        <v>168</v>
      </c>
      <c r="E9" s="10">
        <f t="shared" si="2"/>
        <v>146</v>
      </c>
      <c r="F9" s="10">
        <f t="shared" si="4"/>
        <v>182</v>
      </c>
      <c r="G9" s="10">
        <f t="shared" si="3"/>
        <v>164</v>
      </c>
      <c r="H9" s="10">
        <v>0.8</v>
      </c>
      <c r="K9" s="15"/>
    </row>
    <row r="10" ht="16.5" customHeight="1">
      <c r="A10" s="10">
        <v>3.0</v>
      </c>
      <c r="B10" s="10">
        <v>175.0</v>
      </c>
      <c r="C10" s="10">
        <v>202.0</v>
      </c>
      <c r="D10" s="11">
        <f t="shared" si="1"/>
        <v>188.5</v>
      </c>
      <c r="E10" s="10">
        <f t="shared" si="2"/>
        <v>160</v>
      </c>
      <c r="F10" s="10">
        <f t="shared" si="4"/>
        <v>200</v>
      </c>
      <c r="G10" s="10">
        <f t="shared" si="3"/>
        <v>180</v>
      </c>
      <c r="H10" s="10">
        <v>0.8</v>
      </c>
      <c r="K10" s="16"/>
    </row>
    <row r="11" ht="22.5" customHeight="1">
      <c r="A11" s="10">
        <v>4.0</v>
      </c>
      <c r="B11" s="10">
        <v>196.0</v>
      </c>
      <c r="C11" s="10">
        <v>226.0</v>
      </c>
      <c r="D11" s="11">
        <f t="shared" si="1"/>
        <v>211</v>
      </c>
      <c r="E11" s="10">
        <f t="shared" si="2"/>
        <v>176</v>
      </c>
      <c r="F11" s="10">
        <f t="shared" si="4"/>
        <v>220</v>
      </c>
      <c r="G11" s="10">
        <f t="shared" si="3"/>
        <v>198</v>
      </c>
      <c r="H11" s="10">
        <v>0.8</v>
      </c>
    </row>
    <row r="12" ht="22.5" customHeight="1">
      <c r="A12" s="10">
        <v>5.0</v>
      </c>
      <c r="B12" s="10">
        <v>220.0</v>
      </c>
      <c r="C12" s="10">
        <v>253.0</v>
      </c>
      <c r="D12" s="11">
        <f t="shared" si="1"/>
        <v>236.5</v>
      </c>
      <c r="E12" s="10">
        <f t="shared" si="2"/>
        <v>194</v>
      </c>
      <c r="F12" s="10">
        <f t="shared" si="4"/>
        <v>242</v>
      </c>
      <c r="G12" s="10">
        <f t="shared" si="3"/>
        <v>218</v>
      </c>
      <c r="H12" s="10">
        <v>0.8</v>
      </c>
      <c r="M12" s="13"/>
      <c r="N12" s="13"/>
      <c r="O12" s="13"/>
    </row>
    <row r="13">
      <c r="M13" s="13"/>
      <c r="N13" s="13"/>
      <c r="O13" s="13"/>
    </row>
    <row r="14">
      <c r="M14" s="13"/>
      <c r="N14" s="13"/>
      <c r="O14" s="13"/>
    </row>
    <row r="16">
      <c r="A16" s="6" t="s">
        <v>70</v>
      </c>
      <c r="B16" s="7"/>
      <c r="C16" s="8"/>
    </row>
    <row r="17">
      <c r="A17" s="5" t="s">
        <v>71</v>
      </c>
      <c r="B17" s="5" t="s">
        <v>72</v>
      </c>
      <c r="C17" s="5" t="s">
        <v>73</v>
      </c>
    </row>
    <row r="18">
      <c r="A18" s="14" t="s">
        <v>83</v>
      </c>
      <c r="B18" s="5" t="s">
        <v>84</v>
      </c>
      <c r="C18" s="14" t="s">
        <v>85</v>
      </c>
    </row>
    <row r="20">
      <c r="A20" s="1" t="s">
        <v>86</v>
      </c>
    </row>
    <row r="21">
      <c r="A21" s="1" t="s">
        <v>78</v>
      </c>
      <c r="B21" s="1" t="s">
        <v>79</v>
      </c>
      <c r="C21" s="1" t="s">
        <v>80</v>
      </c>
      <c r="D21" s="1" t="s">
        <v>81</v>
      </c>
    </row>
    <row r="22">
      <c r="A22" s="1" t="s">
        <v>6</v>
      </c>
      <c r="B22" s="1" t="s">
        <v>18</v>
      </c>
      <c r="C22" s="1" t="s">
        <v>14</v>
      </c>
      <c r="D22" s="1" t="s">
        <v>10</v>
      </c>
    </row>
  </sheetData>
  <mergeCells count="3">
    <mergeCell ref="B3:G3"/>
    <mergeCell ref="L10:P10"/>
    <mergeCell ref="A16:C16"/>
  </mergeCells>
  <drawing r:id="rId4"/>
  <legacyDrawing r:id="rId5"/>
  <tableParts count="1">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88"/>
    <col customWidth="1" min="2" max="2" width="17.38"/>
    <col customWidth="1" min="3" max="3" width="17.75"/>
    <col customWidth="1" min="4" max="4" width="17.25"/>
    <col customWidth="1" min="5" max="5" width="18.13"/>
    <col customWidth="1" min="6" max="6" width="18.5"/>
    <col customWidth="1" min="7" max="7" width="25.63"/>
    <col customWidth="1" min="9" max="9" width="24.5"/>
    <col customWidth="1" min="10" max="14" width="2.88"/>
    <col customWidth="1" min="15" max="18" width="3.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66.0</v>
      </c>
      <c r="C6" s="10">
        <v>98.0</v>
      </c>
      <c r="D6" s="11">
        <f t="shared" ref="D6:D12" si="1">AVERAGE(B6:C6)</f>
        <v>82</v>
      </c>
      <c r="E6" s="10">
        <f t="shared" ref="E6:E12" si="2">ROUND(F6*H6,0)</f>
        <v>63</v>
      </c>
      <c r="F6" s="10">
        <f>ROUND(F7 * 0.9,0)</f>
        <v>97</v>
      </c>
      <c r="G6" s="10">
        <f t="shared" ref="G6:G12" si="3">AVERAGE(E6:F6)</f>
        <v>80</v>
      </c>
      <c r="H6" s="10">
        <v>0.65</v>
      </c>
    </row>
    <row r="7" ht="22.5" customHeight="1">
      <c r="A7" s="10">
        <v>0.0</v>
      </c>
      <c r="B7" s="10">
        <v>69.0</v>
      </c>
      <c r="C7" s="10">
        <v>105.0</v>
      </c>
      <c r="D7" s="11">
        <f t="shared" si="1"/>
        <v>87</v>
      </c>
      <c r="E7" s="10">
        <f t="shared" si="2"/>
        <v>70</v>
      </c>
      <c r="F7" s="10">
        <v>108.0</v>
      </c>
      <c r="G7" s="10">
        <f t="shared" si="3"/>
        <v>89</v>
      </c>
      <c r="H7" s="10">
        <v>0.65</v>
      </c>
    </row>
    <row r="8" ht="22.5" customHeight="1">
      <c r="A8" s="10">
        <v>1.0</v>
      </c>
      <c r="B8" s="10">
        <v>75.0</v>
      </c>
      <c r="C8" s="10">
        <v>120.0</v>
      </c>
      <c r="D8" s="11">
        <f t="shared" si="1"/>
        <v>97.5</v>
      </c>
      <c r="E8" s="10">
        <f t="shared" si="2"/>
        <v>77</v>
      </c>
      <c r="F8" s="10">
        <f t="shared" ref="F8:F12" si="4">ROUND(F7*1.1,0)</f>
        <v>119</v>
      </c>
      <c r="G8" s="10">
        <f t="shared" si="3"/>
        <v>98</v>
      </c>
      <c r="H8" s="10">
        <v>0.65</v>
      </c>
    </row>
    <row r="9" ht="15.0" customHeight="1">
      <c r="A9" s="10">
        <v>2.0</v>
      </c>
      <c r="B9" s="10">
        <v>81.0</v>
      </c>
      <c r="C9" s="10">
        <v>137.0</v>
      </c>
      <c r="D9" s="11">
        <f t="shared" si="1"/>
        <v>109</v>
      </c>
      <c r="E9" s="10">
        <f t="shared" si="2"/>
        <v>85</v>
      </c>
      <c r="F9" s="10">
        <f t="shared" si="4"/>
        <v>131</v>
      </c>
      <c r="G9" s="10">
        <f t="shared" si="3"/>
        <v>108</v>
      </c>
      <c r="H9" s="10">
        <v>0.65</v>
      </c>
      <c r="J9" s="1"/>
    </row>
    <row r="10" ht="22.5" customHeight="1">
      <c r="A10" s="10">
        <v>3.0</v>
      </c>
      <c r="B10" s="10">
        <v>87.0</v>
      </c>
      <c r="C10" s="10">
        <v>156.0</v>
      </c>
      <c r="D10" s="11">
        <f t="shared" si="1"/>
        <v>121.5</v>
      </c>
      <c r="E10" s="10">
        <f t="shared" si="2"/>
        <v>94</v>
      </c>
      <c r="F10" s="10">
        <f t="shared" si="4"/>
        <v>144</v>
      </c>
      <c r="G10" s="10">
        <f t="shared" si="3"/>
        <v>119</v>
      </c>
      <c r="H10" s="10">
        <v>0.65</v>
      </c>
    </row>
    <row r="11" ht="15.0" customHeight="1">
      <c r="A11" s="10">
        <v>4.0</v>
      </c>
      <c r="B11" s="10">
        <v>94.0</v>
      </c>
      <c r="C11" s="10">
        <v>178.0</v>
      </c>
      <c r="D11" s="11">
        <f t="shared" si="1"/>
        <v>136</v>
      </c>
      <c r="E11" s="10">
        <f t="shared" si="2"/>
        <v>103</v>
      </c>
      <c r="F11" s="10">
        <f t="shared" si="4"/>
        <v>158</v>
      </c>
      <c r="G11" s="10">
        <f t="shared" si="3"/>
        <v>130.5</v>
      </c>
      <c r="H11" s="10">
        <v>0.65</v>
      </c>
    </row>
    <row r="12" ht="21.75" customHeight="1">
      <c r="A12" s="10">
        <v>5.0</v>
      </c>
      <c r="B12" s="10">
        <v>102.0</v>
      </c>
      <c r="C12" s="10">
        <v>203.0</v>
      </c>
      <c r="D12" s="11">
        <f t="shared" si="1"/>
        <v>152.5</v>
      </c>
      <c r="E12" s="10">
        <f t="shared" si="2"/>
        <v>113</v>
      </c>
      <c r="F12" s="10">
        <f t="shared" si="4"/>
        <v>174</v>
      </c>
      <c r="G12" s="10">
        <f t="shared" si="3"/>
        <v>143.5</v>
      </c>
      <c r="H12" s="10">
        <v>0.65</v>
      </c>
    </row>
    <row r="13">
      <c r="A13" s="6" t="s">
        <v>70</v>
      </c>
      <c r="B13" s="7"/>
      <c r="C13" s="8"/>
    </row>
    <row r="14">
      <c r="A14" s="5" t="s">
        <v>71</v>
      </c>
      <c r="B14" s="5" t="s">
        <v>72</v>
      </c>
      <c r="C14" s="5" t="s">
        <v>73</v>
      </c>
    </row>
    <row r="15">
      <c r="A15" s="17" t="s">
        <v>87</v>
      </c>
      <c r="B15" s="17" t="s">
        <v>88</v>
      </c>
      <c r="C15" s="17" t="s">
        <v>89</v>
      </c>
      <c r="J15" s="1" t="s">
        <v>90</v>
      </c>
    </row>
    <row r="16">
      <c r="E16" s="13"/>
      <c r="F16" s="13"/>
      <c r="G16" s="13"/>
      <c r="J16" s="18"/>
      <c r="K16" s="18"/>
      <c r="L16" s="18"/>
    </row>
    <row r="17">
      <c r="A17" s="1"/>
      <c r="J17" s="18"/>
      <c r="K17" s="19"/>
      <c r="L17" s="19"/>
      <c r="M17" s="13"/>
      <c r="P17" s="20"/>
      <c r="Q17" s="20"/>
    </row>
    <row r="18">
      <c r="J18" s="18"/>
      <c r="K18" s="19"/>
      <c r="L18" s="21"/>
      <c r="M18" s="20"/>
      <c r="N18" s="20"/>
      <c r="P18" s="20"/>
      <c r="Q18" s="22"/>
      <c r="R18" s="13"/>
    </row>
    <row r="20">
      <c r="A20" s="1" t="s">
        <v>77</v>
      </c>
    </row>
    <row r="21">
      <c r="A21" s="1" t="s">
        <v>78</v>
      </c>
      <c r="B21" s="1" t="s">
        <v>79</v>
      </c>
      <c r="C21" s="1" t="s">
        <v>80</v>
      </c>
      <c r="D21" s="1" t="s">
        <v>81</v>
      </c>
    </row>
    <row r="22">
      <c r="A22" s="1" t="s">
        <v>8</v>
      </c>
      <c r="B22" s="1" t="s">
        <v>9</v>
      </c>
      <c r="C22" s="1" t="s">
        <v>16</v>
      </c>
      <c r="D22" s="1" t="s">
        <v>10</v>
      </c>
    </row>
  </sheetData>
  <mergeCells count="4">
    <mergeCell ref="B3:G3"/>
    <mergeCell ref="A13:C13"/>
    <mergeCell ref="D14:H14"/>
    <mergeCell ref="J15:N15"/>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21.0"/>
    <col customWidth="1" min="5" max="5" width="18.13"/>
    <col customWidth="1" min="6" max="6" width="18.5"/>
    <col customWidth="1" min="7" max="7" width="25.6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61.0</v>
      </c>
      <c r="C6" s="10">
        <v>79.0</v>
      </c>
      <c r="D6" s="11">
        <f t="shared" ref="D6:D12" si="1">AVERAGE(B6:C6)</f>
        <v>70</v>
      </c>
      <c r="E6" s="10">
        <f t="shared" ref="E6:E12" si="2">ROUND(F6*H6,0)</f>
        <v>72</v>
      </c>
      <c r="F6" s="10">
        <f>ROUND(F7 * 0.9,0)</f>
        <v>90</v>
      </c>
      <c r="G6" s="10">
        <f t="shared" ref="G6:G12" si="3">AVERAGE(E6:F6)</f>
        <v>81</v>
      </c>
      <c r="H6" s="10">
        <v>0.8</v>
      </c>
    </row>
    <row r="7" ht="22.5" customHeight="1">
      <c r="A7" s="10">
        <v>0.0</v>
      </c>
      <c r="B7" s="10">
        <v>78.0</v>
      </c>
      <c r="C7" s="10">
        <v>90.0</v>
      </c>
      <c r="D7" s="11">
        <f t="shared" si="1"/>
        <v>84</v>
      </c>
      <c r="E7" s="10">
        <f t="shared" si="2"/>
        <v>80</v>
      </c>
      <c r="F7" s="10">
        <v>100.0</v>
      </c>
      <c r="G7" s="10">
        <f t="shared" si="3"/>
        <v>90</v>
      </c>
      <c r="H7" s="10">
        <v>0.8</v>
      </c>
    </row>
    <row r="8" ht="22.5" customHeight="1">
      <c r="A8" s="10">
        <v>1.0</v>
      </c>
      <c r="B8" s="10">
        <v>87.0</v>
      </c>
      <c r="C8" s="10">
        <v>101.0</v>
      </c>
      <c r="D8" s="11">
        <f t="shared" si="1"/>
        <v>94</v>
      </c>
      <c r="E8" s="10">
        <f t="shared" si="2"/>
        <v>88</v>
      </c>
      <c r="F8" s="10">
        <f t="shared" ref="F8:F12" si="4">ROUND(F7*1.1,0)</f>
        <v>110</v>
      </c>
      <c r="G8" s="10">
        <f t="shared" si="3"/>
        <v>99</v>
      </c>
      <c r="H8" s="10">
        <v>0.8</v>
      </c>
    </row>
    <row r="9" ht="22.5" customHeight="1">
      <c r="A9" s="10">
        <v>2.0</v>
      </c>
      <c r="B9" s="10">
        <v>97.0</v>
      </c>
      <c r="C9" s="10">
        <v>113.0</v>
      </c>
      <c r="D9" s="11">
        <f t="shared" si="1"/>
        <v>105</v>
      </c>
      <c r="E9" s="10">
        <f t="shared" si="2"/>
        <v>97</v>
      </c>
      <c r="F9" s="10">
        <f t="shared" si="4"/>
        <v>121</v>
      </c>
      <c r="G9" s="10">
        <f t="shared" si="3"/>
        <v>109</v>
      </c>
      <c r="H9" s="10">
        <v>0.8</v>
      </c>
    </row>
    <row r="10" ht="15.0" customHeight="1">
      <c r="A10" s="10">
        <v>3.0</v>
      </c>
      <c r="B10" s="10">
        <v>109.0</v>
      </c>
      <c r="C10" s="10">
        <v>127.0</v>
      </c>
      <c r="D10" s="11">
        <f t="shared" si="1"/>
        <v>118</v>
      </c>
      <c r="E10" s="10">
        <f t="shared" si="2"/>
        <v>106</v>
      </c>
      <c r="F10" s="10">
        <f t="shared" si="4"/>
        <v>133</v>
      </c>
      <c r="G10" s="10">
        <f t="shared" si="3"/>
        <v>119.5</v>
      </c>
      <c r="H10" s="10">
        <v>0.8</v>
      </c>
    </row>
    <row r="11" ht="19.5" customHeight="1">
      <c r="A11" s="10">
        <v>4.0</v>
      </c>
      <c r="B11" s="10">
        <v>122.0</v>
      </c>
      <c r="C11" s="10">
        <v>142.0</v>
      </c>
      <c r="D11" s="11">
        <f t="shared" si="1"/>
        <v>132</v>
      </c>
      <c r="E11" s="10">
        <f t="shared" si="2"/>
        <v>117</v>
      </c>
      <c r="F11" s="10">
        <f t="shared" si="4"/>
        <v>146</v>
      </c>
      <c r="G11" s="10">
        <f t="shared" si="3"/>
        <v>131.5</v>
      </c>
      <c r="H11" s="10">
        <v>0.8</v>
      </c>
    </row>
    <row r="12" ht="22.5" customHeight="1">
      <c r="A12" s="10">
        <v>5.0</v>
      </c>
      <c r="B12" s="10">
        <v>137.0</v>
      </c>
      <c r="C12" s="10">
        <v>159.0</v>
      </c>
      <c r="D12" s="11">
        <f t="shared" si="1"/>
        <v>148</v>
      </c>
      <c r="E12" s="10">
        <f t="shared" si="2"/>
        <v>129</v>
      </c>
      <c r="F12" s="10">
        <f t="shared" si="4"/>
        <v>161</v>
      </c>
      <c r="G12" s="10">
        <f t="shared" si="3"/>
        <v>145</v>
      </c>
      <c r="H12" s="10">
        <v>0.8</v>
      </c>
    </row>
    <row r="15">
      <c r="A15" s="6" t="s">
        <v>70</v>
      </c>
      <c r="B15" s="7"/>
      <c r="C15" s="8"/>
      <c r="D15" s="9"/>
    </row>
    <row r="16">
      <c r="A16" s="5" t="s">
        <v>71</v>
      </c>
      <c r="B16" s="5" t="s">
        <v>72</v>
      </c>
      <c r="C16" s="5" t="s">
        <v>73</v>
      </c>
      <c r="D16" s="5" t="s">
        <v>91</v>
      </c>
    </row>
    <row r="17">
      <c r="A17" s="17" t="s">
        <v>92</v>
      </c>
      <c r="B17" s="17" t="s">
        <v>93</v>
      </c>
      <c r="C17" s="17" t="s">
        <v>94</v>
      </c>
      <c r="D17" s="17" t="s">
        <v>95</v>
      </c>
    </row>
    <row r="20">
      <c r="A20" s="1" t="s">
        <v>77</v>
      </c>
    </row>
    <row r="21">
      <c r="A21" s="1" t="s">
        <v>78</v>
      </c>
      <c r="B21" s="1" t="s">
        <v>79</v>
      </c>
      <c r="C21" s="1" t="s">
        <v>80</v>
      </c>
      <c r="D21" s="1" t="s">
        <v>81</v>
      </c>
    </row>
    <row r="22">
      <c r="A22" s="23" t="s">
        <v>11</v>
      </c>
      <c r="B22" s="23" t="s">
        <v>17</v>
      </c>
      <c r="C22" s="23" t="s">
        <v>35</v>
      </c>
      <c r="D22" s="23" t="s">
        <v>15</v>
      </c>
    </row>
  </sheetData>
  <mergeCells count="2">
    <mergeCell ref="B3:G3"/>
    <mergeCell ref="A15:C15"/>
  </mergeCell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0.38"/>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17.25" customHeight="1">
      <c r="A6" s="10">
        <v>-1.0</v>
      </c>
      <c r="B6" s="10">
        <v>105.0</v>
      </c>
      <c r="C6" s="10">
        <v>140.0</v>
      </c>
      <c r="D6" s="11">
        <f t="shared" ref="D6:D12" si="1">AVERAGE(B6:C6)</f>
        <v>122.5</v>
      </c>
      <c r="E6" s="10">
        <f t="shared" ref="E6:E12" si="2">ROUND(F6*H6,0)</f>
        <v>102</v>
      </c>
      <c r="F6" s="10">
        <f>ROUND(F7 * 0.9,0)</f>
        <v>157</v>
      </c>
      <c r="G6" s="10">
        <f t="shared" ref="G6:G12" si="3">AVERAGE(E6:F6)</f>
        <v>129.5</v>
      </c>
      <c r="H6" s="10">
        <v>0.65</v>
      </c>
    </row>
    <row r="7" ht="22.5" customHeight="1">
      <c r="A7" s="10">
        <v>0.0</v>
      </c>
      <c r="B7" s="10">
        <v>111.0</v>
      </c>
      <c r="C7" s="10">
        <v>149.0</v>
      </c>
      <c r="D7" s="11">
        <f t="shared" si="1"/>
        <v>130</v>
      </c>
      <c r="E7" s="10">
        <f t="shared" si="2"/>
        <v>113</v>
      </c>
      <c r="F7" s="10">
        <v>174.0</v>
      </c>
      <c r="G7" s="10">
        <f t="shared" si="3"/>
        <v>143.5</v>
      </c>
      <c r="H7" s="10">
        <v>0.65</v>
      </c>
    </row>
    <row r="8" ht="14.25" customHeight="1">
      <c r="A8" s="10">
        <v>1.0</v>
      </c>
      <c r="B8" s="10">
        <v>124.0</v>
      </c>
      <c r="C8" s="10">
        <v>167.0</v>
      </c>
      <c r="D8" s="11">
        <f t="shared" si="1"/>
        <v>145.5</v>
      </c>
      <c r="E8" s="10">
        <f t="shared" si="2"/>
        <v>124</v>
      </c>
      <c r="F8" s="10">
        <f t="shared" ref="F8:F12" si="4">ROUND(F7*1.1,0)</f>
        <v>191</v>
      </c>
      <c r="G8" s="10">
        <f t="shared" si="3"/>
        <v>157.5</v>
      </c>
      <c r="H8" s="10">
        <v>0.65</v>
      </c>
      <c r="L8" s="1"/>
    </row>
    <row r="9" ht="22.5" customHeight="1">
      <c r="A9" s="10">
        <v>2.0</v>
      </c>
      <c r="B9" s="10">
        <v>139.0</v>
      </c>
      <c r="C9" s="10">
        <v>187.0</v>
      </c>
      <c r="D9" s="11">
        <f t="shared" si="1"/>
        <v>163</v>
      </c>
      <c r="E9" s="10">
        <f t="shared" si="2"/>
        <v>137</v>
      </c>
      <c r="F9" s="10">
        <f t="shared" si="4"/>
        <v>210</v>
      </c>
      <c r="G9" s="10">
        <f t="shared" si="3"/>
        <v>173.5</v>
      </c>
      <c r="H9" s="10">
        <v>0.65</v>
      </c>
    </row>
    <row r="10" ht="16.5" customHeight="1">
      <c r="A10" s="10">
        <v>3.0</v>
      </c>
      <c r="B10" s="10">
        <v>156.0</v>
      </c>
      <c r="C10" s="10">
        <v>209.0</v>
      </c>
      <c r="D10" s="11">
        <f t="shared" si="1"/>
        <v>182.5</v>
      </c>
      <c r="E10" s="10">
        <f t="shared" si="2"/>
        <v>150</v>
      </c>
      <c r="F10" s="10">
        <f t="shared" si="4"/>
        <v>231</v>
      </c>
      <c r="G10" s="10">
        <f t="shared" si="3"/>
        <v>190.5</v>
      </c>
      <c r="H10" s="10">
        <v>0.65</v>
      </c>
    </row>
    <row r="11" ht="16.5" customHeight="1">
      <c r="A11" s="10">
        <v>4.0</v>
      </c>
      <c r="B11" s="10">
        <v>175.0</v>
      </c>
      <c r="C11" s="10">
        <v>234.0</v>
      </c>
      <c r="D11" s="11">
        <f t="shared" si="1"/>
        <v>204.5</v>
      </c>
      <c r="E11" s="10">
        <f t="shared" si="2"/>
        <v>165</v>
      </c>
      <c r="F11" s="10">
        <f t="shared" si="4"/>
        <v>254</v>
      </c>
      <c r="G11" s="10">
        <f t="shared" si="3"/>
        <v>209.5</v>
      </c>
      <c r="H11" s="10">
        <v>0.65</v>
      </c>
    </row>
    <row r="12" ht="16.5" customHeight="1">
      <c r="A12" s="10">
        <v>5.0</v>
      </c>
      <c r="B12" s="10">
        <v>196.0</v>
      </c>
      <c r="C12" s="10">
        <v>292.0</v>
      </c>
      <c r="D12" s="11">
        <f t="shared" si="1"/>
        <v>244</v>
      </c>
      <c r="E12" s="10">
        <f t="shared" si="2"/>
        <v>181</v>
      </c>
      <c r="F12" s="10">
        <f t="shared" si="4"/>
        <v>279</v>
      </c>
      <c r="G12" s="10">
        <f t="shared" si="3"/>
        <v>230</v>
      </c>
      <c r="H12" s="10">
        <v>0.65</v>
      </c>
    </row>
    <row r="13" ht="16.5" customHeight="1"/>
    <row r="14" ht="18.0" customHeight="1"/>
    <row r="15">
      <c r="A15" s="1"/>
      <c r="B15" s="1"/>
      <c r="C15" s="1"/>
      <c r="D15" s="1"/>
    </row>
    <row r="16">
      <c r="A16" s="6" t="s">
        <v>70</v>
      </c>
      <c r="B16" s="7"/>
      <c r="C16" s="7"/>
      <c r="D16" s="8"/>
    </row>
    <row r="17">
      <c r="A17" s="5" t="s">
        <v>71</v>
      </c>
      <c r="B17" s="5" t="s">
        <v>72</v>
      </c>
      <c r="C17" s="6" t="s">
        <v>73</v>
      </c>
      <c r="D17" s="24" t="s">
        <v>96</v>
      </c>
    </row>
    <row r="18">
      <c r="A18" s="17" t="s">
        <v>97</v>
      </c>
      <c r="B18" s="17" t="s">
        <v>98</v>
      </c>
      <c r="C18" s="25" t="s">
        <v>94</v>
      </c>
      <c r="D18" s="26" t="s">
        <v>99</v>
      </c>
    </row>
    <row r="20">
      <c r="A20" s="1" t="s">
        <v>77</v>
      </c>
    </row>
    <row r="21">
      <c r="A21" s="1" t="s">
        <v>78</v>
      </c>
      <c r="B21" s="1" t="s">
        <v>79</v>
      </c>
      <c r="C21" s="1" t="s">
        <v>80</v>
      </c>
      <c r="D21" s="1" t="s">
        <v>81</v>
      </c>
    </row>
    <row r="22">
      <c r="A22" s="23" t="s">
        <v>100</v>
      </c>
      <c r="B22" s="23" t="s">
        <v>15</v>
      </c>
      <c r="C22" s="23" t="s">
        <v>101</v>
      </c>
      <c r="D22" s="23" t="s">
        <v>2</v>
      </c>
    </row>
  </sheetData>
  <mergeCells count="2">
    <mergeCell ref="B3:G3"/>
    <mergeCell ref="A16:D16"/>
  </mergeCells>
  <drawing r:id="rId4"/>
  <legacyDrawing r:id="rId5"/>
  <tableParts count="1">
    <tablePart r:id="rId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0.38"/>
    <col customWidth="1" min="12" max="12" width="39.7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104.0</v>
      </c>
      <c r="C6" s="10">
        <v>135.0</v>
      </c>
      <c r="D6" s="11">
        <f t="shared" ref="D6:D12" si="1">AVERAGE(B6:C6)</f>
        <v>119.5</v>
      </c>
      <c r="E6" s="10">
        <f t="shared" ref="E6:E12" si="2">ROUND(F6*H6,0)</f>
        <v>81</v>
      </c>
      <c r="F6" s="10">
        <f>ROUND(F7 * 0.9,0)</f>
        <v>162</v>
      </c>
      <c r="G6" s="10">
        <f t="shared" ref="G6:G12" si="3">AVERAGE(E6:F6)</f>
        <v>121.5</v>
      </c>
      <c r="H6" s="10">
        <v>0.5</v>
      </c>
    </row>
    <row r="7" ht="22.5" customHeight="1">
      <c r="A7" s="10">
        <v>0.0</v>
      </c>
      <c r="B7" s="10">
        <v>110.0</v>
      </c>
      <c r="C7" s="10">
        <v>140.0</v>
      </c>
      <c r="D7" s="11">
        <f t="shared" si="1"/>
        <v>125</v>
      </c>
      <c r="E7" s="10">
        <f t="shared" si="2"/>
        <v>90</v>
      </c>
      <c r="F7" s="10">
        <v>180.0</v>
      </c>
      <c r="G7" s="10">
        <f t="shared" si="3"/>
        <v>135</v>
      </c>
      <c r="H7" s="10">
        <v>0.5</v>
      </c>
    </row>
    <row r="8" ht="22.5" customHeight="1">
      <c r="A8" s="10">
        <v>1.0</v>
      </c>
      <c r="B8" s="10">
        <v>123.0</v>
      </c>
      <c r="C8" s="10">
        <v>157.0</v>
      </c>
      <c r="D8" s="11">
        <f t="shared" si="1"/>
        <v>140</v>
      </c>
      <c r="E8" s="10">
        <f t="shared" si="2"/>
        <v>99</v>
      </c>
      <c r="F8" s="10">
        <f t="shared" ref="F8:F12" si="4">ROUND(F7*1.1,0)</f>
        <v>198</v>
      </c>
      <c r="G8" s="10">
        <f t="shared" si="3"/>
        <v>148.5</v>
      </c>
      <c r="H8" s="10">
        <v>0.5</v>
      </c>
    </row>
    <row r="9" ht="22.5" customHeight="1">
      <c r="A9" s="10">
        <v>2.0</v>
      </c>
      <c r="B9" s="10">
        <v>138.0</v>
      </c>
      <c r="C9" s="10">
        <v>176.0</v>
      </c>
      <c r="D9" s="11">
        <f t="shared" si="1"/>
        <v>157</v>
      </c>
      <c r="E9" s="10">
        <f t="shared" si="2"/>
        <v>109</v>
      </c>
      <c r="F9" s="10">
        <f t="shared" si="4"/>
        <v>218</v>
      </c>
      <c r="G9" s="10">
        <f t="shared" si="3"/>
        <v>163.5</v>
      </c>
      <c r="H9" s="10">
        <v>0.5</v>
      </c>
    </row>
    <row r="10" ht="22.5" customHeight="1">
      <c r="A10" s="10">
        <v>3.0</v>
      </c>
      <c r="B10" s="10">
        <v>155.0</v>
      </c>
      <c r="C10" s="10">
        <v>197.0</v>
      </c>
      <c r="D10" s="11">
        <f t="shared" si="1"/>
        <v>176</v>
      </c>
      <c r="E10" s="10">
        <f t="shared" si="2"/>
        <v>120</v>
      </c>
      <c r="F10" s="10">
        <f t="shared" si="4"/>
        <v>240</v>
      </c>
      <c r="G10" s="10">
        <f t="shared" si="3"/>
        <v>180</v>
      </c>
      <c r="H10" s="10">
        <v>0.5</v>
      </c>
    </row>
    <row r="11" ht="22.5" customHeight="1">
      <c r="A11" s="10">
        <v>4.0</v>
      </c>
      <c r="B11" s="10">
        <v>174.0</v>
      </c>
      <c r="C11" s="10">
        <v>221.0</v>
      </c>
      <c r="D11" s="11">
        <f t="shared" si="1"/>
        <v>197.5</v>
      </c>
      <c r="E11" s="10">
        <f t="shared" si="2"/>
        <v>132</v>
      </c>
      <c r="F11" s="10">
        <f t="shared" si="4"/>
        <v>264</v>
      </c>
      <c r="G11" s="10">
        <f t="shared" si="3"/>
        <v>198</v>
      </c>
      <c r="H11" s="10">
        <v>0.5</v>
      </c>
    </row>
    <row r="12" ht="22.5" customHeight="1">
      <c r="A12" s="10">
        <v>5.0</v>
      </c>
      <c r="B12" s="10">
        <v>195.0</v>
      </c>
      <c r="C12" s="10">
        <v>248.0</v>
      </c>
      <c r="D12" s="11">
        <f t="shared" si="1"/>
        <v>221.5</v>
      </c>
      <c r="E12" s="10">
        <f t="shared" si="2"/>
        <v>145</v>
      </c>
      <c r="F12" s="10">
        <f t="shared" si="4"/>
        <v>290</v>
      </c>
      <c r="G12" s="10">
        <f t="shared" si="3"/>
        <v>217.5</v>
      </c>
      <c r="H12" s="10">
        <v>0.5</v>
      </c>
    </row>
    <row r="14" ht="11.25" customHeight="1">
      <c r="L14" s="1"/>
    </row>
    <row r="15">
      <c r="A15" s="6" t="s">
        <v>70</v>
      </c>
      <c r="B15" s="7"/>
      <c r="C15" s="7"/>
      <c r="D15" s="7"/>
    </row>
    <row r="16" ht="39.0" customHeight="1">
      <c r="A16" s="5" t="s">
        <v>71</v>
      </c>
      <c r="B16" s="5" t="s">
        <v>72</v>
      </c>
      <c r="C16" s="6" t="s">
        <v>73</v>
      </c>
      <c r="D16" s="5" t="s">
        <v>96</v>
      </c>
    </row>
    <row r="17" ht="65.25" customHeight="1">
      <c r="A17" s="17" t="s">
        <v>87</v>
      </c>
      <c r="B17" s="17" t="s">
        <v>87</v>
      </c>
      <c r="C17" s="25" t="s">
        <v>102</v>
      </c>
      <c r="D17" s="17" t="s">
        <v>87</v>
      </c>
      <c r="L17" s="23"/>
    </row>
    <row r="18">
      <c r="K18" s="1"/>
    </row>
    <row r="20">
      <c r="A20" s="1" t="s">
        <v>77</v>
      </c>
    </row>
    <row r="21">
      <c r="A21" s="1" t="s">
        <v>78</v>
      </c>
      <c r="B21" s="1" t="s">
        <v>79</v>
      </c>
      <c r="C21" s="1" t="s">
        <v>80</v>
      </c>
      <c r="D21" s="1" t="s">
        <v>81</v>
      </c>
    </row>
    <row r="22">
      <c r="A22" s="23" t="s">
        <v>103</v>
      </c>
      <c r="B22" s="23" t="s">
        <v>104</v>
      </c>
      <c r="C22" s="23" t="s">
        <v>105</v>
      </c>
      <c r="D22" s="23" t="s">
        <v>35</v>
      </c>
    </row>
  </sheetData>
  <mergeCells count="2">
    <mergeCell ref="B3:G3"/>
    <mergeCell ref="A15:D15"/>
  </mergeCell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79.0</v>
      </c>
      <c r="C6" s="10">
        <v>126.0</v>
      </c>
      <c r="D6" s="11">
        <f t="shared" ref="D6:D12" si="1">AVERAGE(B6:C6)</f>
        <v>102.5</v>
      </c>
      <c r="E6" s="10">
        <f t="shared" ref="E6:E12" si="2">ROUND(F6*H6,0)</f>
        <v>70</v>
      </c>
      <c r="F6" s="10">
        <f>ROUND(F7 * 0.9,0)</f>
        <v>139</v>
      </c>
      <c r="G6" s="10">
        <f t="shared" ref="G6:G12" si="3">AVERAGE(E6:F6)</f>
        <v>104.5</v>
      </c>
      <c r="H6" s="10">
        <v>0.5</v>
      </c>
    </row>
    <row r="7" ht="22.5" customHeight="1">
      <c r="A7" s="10">
        <v>0.0</v>
      </c>
      <c r="B7" s="10">
        <v>82.0</v>
      </c>
      <c r="C7" s="10">
        <v>136.0</v>
      </c>
      <c r="D7" s="11">
        <f t="shared" si="1"/>
        <v>109</v>
      </c>
      <c r="E7" s="10">
        <f t="shared" si="2"/>
        <v>77</v>
      </c>
      <c r="F7" s="10">
        <v>154.0</v>
      </c>
      <c r="G7" s="10">
        <f t="shared" si="3"/>
        <v>115.5</v>
      </c>
      <c r="H7" s="10">
        <v>0.5</v>
      </c>
    </row>
    <row r="8" ht="16.5" customHeight="1">
      <c r="A8" s="10">
        <v>1.0</v>
      </c>
      <c r="B8" s="10">
        <v>89.0</v>
      </c>
      <c r="C8" s="10">
        <v>155.0</v>
      </c>
      <c r="D8" s="11">
        <f t="shared" si="1"/>
        <v>122</v>
      </c>
      <c r="E8" s="10">
        <f t="shared" si="2"/>
        <v>85</v>
      </c>
      <c r="F8" s="10">
        <f t="shared" ref="F8:F12" si="4">ROUND(F7*1.1,0)</f>
        <v>169</v>
      </c>
      <c r="G8" s="10">
        <f t="shared" si="3"/>
        <v>127</v>
      </c>
      <c r="H8" s="10">
        <v>0.5</v>
      </c>
      <c r="K8" s="1"/>
    </row>
    <row r="9" ht="22.5" customHeight="1">
      <c r="A9" s="10">
        <v>2.0</v>
      </c>
      <c r="B9" s="10">
        <v>96.0</v>
      </c>
      <c r="C9" s="10">
        <v>177.0</v>
      </c>
      <c r="D9" s="11">
        <f t="shared" si="1"/>
        <v>136.5</v>
      </c>
      <c r="E9" s="10">
        <f t="shared" si="2"/>
        <v>93</v>
      </c>
      <c r="F9" s="10">
        <f t="shared" si="4"/>
        <v>186</v>
      </c>
      <c r="G9" s="10">
        <f t="shared" si="3"/>
        <v>139.5</v>
      </c>
      <c r="H9" s="10">
        <v>0.5</v>
      </c>
    </row>
    <row r="10" ht="15.0" customHeight="1">
      <c r="A10" s="10">
        <v>3.0</v>
      </c>
      <c r="B10" s="10">
        <v>104.0</v>
      </c>
      <c r="C10" s="10">
        <v>202.0</v>
      </c>
      <c r="D10" s="11">
        <f t="shared" si="1"/>
        <v>153</v>
      </c>
      <c r="E10" s="10">
        <f t="shared" si="2"/>
        <v>103</v>
      </c>
      <c r="F10" s="10">
        <f t="shared" si="4"/>
        <v>205</v>
      </c>
      <c r="G10" s="10">
        <f t="shared" si="3"/>
        <v>154</v>
      </c>
      <c r="H10" s="10">
        <v>0.5</v>
      </c>
    </row>
    <row r="11" ht="22.5" customHeight="1">
      <c r="A11" s="10">
        <v>4.0</v>
      </c>
      <c r="B11" s="10">
        <v>112.0</v>
      </c>
      <c r="C11" s="10">
        <v>230.0</v>
      </c>
      <c r="D11" s="11">
        <f t="shared" si="1"/>
        <v>171</v>
      </c>
      <c r="E11" s="10">
        <f t="shared" si="2"/>
        <v>113</v>
      </c>
      <c r="F11" s="10">
        <f t="shared" si="4"/>
        <v>226</v>
      </c>
      <c r="G11" s="10">
        <f t="shared" si="3"/>
        <v>169.5</v>
      </c>
      <c r="H11" s="10">
        <v>0.5</v>
      </c>
    </row>
    <row r="12" ht="22.5" customHeight="1">
      <c r="A12" s="10">
        <v>5.0</v>
      </c>
      <c r="B12" s="10">
        <v>121.0</v>
      </c>
      <c r="C12" s="10">
        <v>262.0</v>
      </c>
      <c r="D12" s="11">
        <f t="shared" si="1"/>
        <v>191.5</v>
      </c>
      <c r="E12" s="10">
        <f t="shared" si="2"/>
        <v>125</v>
      </c>
      <c r="F12" s="10">
        <f t="shared" si="4"/>
        <v>249</v>
      </c>
      <c r="G12" s="10">
        <f t="shared" si="3"/>
        <v>187</v>
      </c>
      <c r="H12" s="10">
        <v>0.5</v>
      </c>
    </row>
    <row r="13">
      <c r="A13" s="6" t="s">
        <v>70</v>
      </c>
      <c r="B13" s="7"/>
      <c r="C13" s="8"/>
    </row>
    <row r="14">
      <c r="A14" s="5" t="s">
        <v>71</v>
      </c>
      <c r="B14" s="5" t="s">
        <v>72</v>
      </c>
      <c r="C14" s="5" t="s">
        <v>73</v>
      </c>
      <c r="D14" s="5" t="s">
        <v>96</v>
      </c>
    </row>
    <row r="15">
      <c r="A15" s="17" t="s">
        <v>87</v>
      </c>
      <c r="B15" s="17" t="s">
        <v>106</v>
      </c>
      <c r="C15" s="17" t="s">
        <v>94</v>
      </c>
      <c r="D15" s="17" t="s">
        <v>94</v>
      </c>
    </row>
    <row r="16">
      <c r="E16" s="13"/>
      <c r="F16" s="13"/>
      <c r="G16" s="13"/>
    </row>
    <row r="19" ht="36.0" customHeight="1"/>
    <row r="20">
      <c r="A20" s="5" t="s">
        <v>77</v>
      </c>
      <c r="B20" s="9"/>
      <c r="C20" s="9"/>
      <c r="D20" s="9"/>
    </row>
    <row r="21">
      <c r="A21" s="5" t="s">
        <v>78</v>
      </c>
      <c r="B21" s="5" t="s">
        <v>79</v>
      </c>
      <c r="C21" s="5" t="s">
        <v>80</v>
      </c>
      <c r="D21" s="5" t="s">
        <v>81</v>
      </c>
    </row>
    <row r="22">
      <c r="A22" s="27" t="s">
        <v>107</v>
      </c>
      <c r="B22" s="27" t="s">
        <v>8</v>
      </c>
      <c r="C22" s="27" t="s">
        <v>108</v>
      </c>
      <c r="D22" s="14" t="s">
        <v>109</v>
      </c>
    </row>
  </sheetData>
  <mergeCells count="2">
    <mergeCell ref="B3:G3"/>
    <mergeCell ref="A13:C13"/>
  </mergeCells>
  <drawing r:id="rId4"/>
  <legacyDrawing r:id="rId5"/>
  <tableParts count="1">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75"/>
    <col customWidth="1" min="12" max="12" width="2.5"/>
    <col customWidth="1" min="13" max="13" width="2.63"/>
    <col customWidth="1" min="14" max="15" width="3.13"/>
    <col customWidth="1" min="16" max="16" width="2.88"/>
    <col customWidth="1" min="17" max="17" width="2.0"/>
  </cols>
  <sheetData>
    <row r="1">
      <c r="B1" s="1"/>
    </row>
    <row r="2">
      <c r="B2" s="1" t="s">
        <v>61</v>
      </c>
    </row>
    <row r="3">
      <c r="A3" s="5"/>
      <c r="B3" s="6" t="s">
        <v>62</v>
      </c>
      <c r="C3" s="7"/>
      <c r="D3" s="7"/>
      <c r="E3" s="7"/>
      <c r="F3" s="7"/>
      <c r="G3" s="8"/>
      <c r="H3" s="9"/>
    </row>
    <row r="4">
      <c r="A4" s="1"/>
      <c r="B4" s="1"/>
      <c r="C4" s="1"/>
      <c r="D4" s="1"/>
      <c r="E4" s="1"/>
      <c r="F4" s="1"/>
      <c r="G4" s="1"/>
      <c r="H4" s="1"/>
      <c r="K4" s="1"/>
      <c r="L4" s="1"/>
      <c r="M4" s="1"/>
      <c r="N4" s="1"/>
      <c r="O4" s="1"/>
      <c r="P4" s="1"/>
      <c r="Q4" s="1"/>
    </row>
    <row r="5" ht="22.5" customHeight="1">
      <c r="A5" s="2" t="s">
        <v>1</v>
      </c>
      <c r="B5" s="2" t="s">
        <v>63</v>
      </c>
      <c r="C5" s="2" t="s">
        <v>64</v>
      </c>
      <c r="D5" s="2" t="s">
        <v>65</v>
      </c>
      <c r="E5" s="2" t="s">
        <v>66</v>
      </c>
      <c r="F5" s="2" t="s">
        <v>67</v>
      </c>
      <c r="G5" s="2" t="s">
        <v>68</v>
      </c>
      <c r="H5" s="2" t="s">
        <v>69</v>
      </c>
      <c r="K5" s="1" t="s">
        <v>110</v>
      </c>
    </row>
    <row r="6" ht="16.5" customHeight="1">
      <c r="A6" s="10">
        <v>-1.0</v>
      </c>
      <c r="B6" s="10">
        <v>85.0</v>
      </c>
      <c r="C6" s="10">
        <v>114.0</v>
      </c>
      <c r="D6" s="11">
        <f t="shared" ref="D6:D12" si="1">AVERAGE(B6:C6)</f>
        <v>99.5</v>
      </c>
      <c r="E6" s="10">
        <f t="shared" ref="E6:E12" si="2">ROUND(F6*H6,0)</f>
        <v>97</v>
      </c>
      <c r="F6" s="10">
        <f>ROUND(F7 * 0.9,0)</f>
        <v>121</v>
      </c>
      <c r="G6" s="10">
        <f t="shared" ref="G6:G12" si="3">AVERAGE(E6:F6)</f>
        <v>109</v>
      </c>
      <c r="H6" s="10">
        <v>0.8</v>
      </c>
    </row>
    <row r="7" ht="16.5" customHeight="1">
      <c r="A7" s="10">
        <v>0.0</v>
      </c>
      <c r="B7" s="10">
        <v>99.0</v>
      </c>
      <c r="C7" s="10">
        <v>126.0</v>
      </c>
      <c r="D7" s="11">
        <f t="shared" si="1"/>
        <v>112.5</v>
      </c>
      <c r="E7" s="10">
        <f t="shared" si="2"/>
        <v>107</v>
      </c>
      <c r="F7" s="10">
        <v>134.0</v>
      </c>
      <c r="G7" s="10">
        <f t="shared" si="3"/>
        <v>120.5</v>
      </c>
      <c r="H7" s="10">
        <v>0.8</v>
      </c>
      <c r="N7" s="18"/>
    </row>
    <row r="8" ht="16.5" customHeight="1">
      <c r="A8" s="10">
        <v>1.0</v>
      </c>
      <c r="B8" s="10">
        <v>111.0</v>
      </c>
      <c r="C8" s="10">
        <v>141.0</v>
      </c>
      <c r="D8" s="11">
        <f t="shared" si="1"/>
        <v>126</v>
      </c>
      <c r="E8" s="10">
        <f t="shared" si="2"/>
        <v>118</v>
      </c>
      <c r="F8" s="10">
        <f t="shared" ref="F8:F12" si="4">ROUND(F7*1.1,0)</f>
        <v>147</v>
      </c>
      <c r="G8" s="10">
        <f t="shared" si="3"/>
        <v>132.5</v>
      </c>
      <c r="H8" s="10">
        <v>0.8</v>
      </c>
      <c r="N8" s="18"/>
    </row>
    <row r="9" ht="16.5" customHeight="1">
      <c r="A9" s="10">
        <v>2.0</v>
      </c>
      <c r="B9" s="10">
        <v>124.0</v>
      </c>
      <c r="C9" s="10">
        <v>158.0</v>
      </c>
      <c r="D9" s="11">
        <f t="shared" si="1"/>
        <v>141</v>
      </c>
      <c r="E9" s="10">
        <f t="shared" si="2"/>
        <v>130</v>
      </c>
      <c r="F9" s="10">
        <f t="shared" si="4"/>
        <v>162</v>
      </c>
      <c r="G9" s="10">
        <f t="shared" si="3"/>
        <v>146</v>
      </c>
      <c r="H9" s="10">
        <v>0.8</v>
      </c>
      <c r="N9" s="18"/>
    </row>
    <row r="10" ht="16.5" customHeight="1">
      <c r="A10" s="10">
        <v>3.0</v>
      </c>
      <c r="B10" s="10">
        <v>139.0</v>
      </c>
      <c r="C10" s="10">
        <v>177.0</v>
      </c>
      <c r="D10" s="11">
        <f t="shared" si="1"/>
        <v>158</v>
      </c>
      <c r="E10" s="10">
        <f t="shared" si="2"/>
        <v>142</v>
      </c>
      <c r="F10" s="10">
        <f t="shared" si="4"/>
        <v>178</v>
      </c>
      <c r="G10" s="10">
        <f t="shared" si="3"/>
        <v>160</v>
      </c>
      <c r="H10" s="10">
        <v>0.8</v>
      </c>
      <c r="N10" s="18"/>
    </row>
    <row r="11" ht="16.5" customHeight="1">
      <c r="A11" s="10">
        <v>4.0</v>
      </c>
      <c r="B11" s="10">
        <v>156.0</v>
      </c>
      <c r="C11" s="10">
        <v>198.0</v>
      </c>
      <c r="D11" s="11">
        <f t="shared" si="1"/>
        <v>177</v>
      </c>
      <c r="E11" s="10">
        <f t="shared" si="2"/>
        <v>157</v>
      </c>
      <c r="F11" s="10">
        <f t="shared" si="4"/>
        <v>196</v>
      </c>
      <c r="G11" s="10">
        <f t="shared" si="3"/>
        <v>176.5</v>
      </c>
      <c r="H11" s="10">
        <v>0.8</v>
      </c>
    </row>
    <row r="12" ht="16.5" customHeight="1">
      <c r="A12" s="10">
        <v>5.0</v>
      </c>
      <c r="B12" s="10">
        <v>175.0</v>
      </c>
      <c r="C12" s="10">
        <v>222.0</v>
      </c>
      <c r="D12" s="11">
        <f t="shared" si="1"/>
        <v>198.5</v>
      </c>
      <c r="E12" s="10">
        <f t="shared" si="2"/>
        <v>173</v>
      </c>
      <c r="F12" s="10">
        <f t="shared" si="4"/>
        <v>216</v>
      </c>
      <c r="G12" s="10">
        <f t="shared" si="3"/>
        <v>194.5</v>
      </c>
      <c r="H12" s="10">
        <v>0.8</v>
      </c>
    </row>
    <row r="14" ht="11.25" customHeight="1"/>
    <row r="16">
      <c r="A16" s="6" t="s">
        <v>70</v>
      </c>
      <c r="B16" s="7"/>
      <c r="C16" s="7"/>
      <c r="D16" s="7"/>
    </row>
    <row r="17">
      <c r="A17" s="5" t="s">
        <v>71</v>
      </c>
      <c r="B17" s="5" t="s">
        <v>72</v>
      </c>
      <c r="C17" s="6" t="s">
        <v>73</v>
      </c>
      <c r="D17" s="12" t="s">
        <v>96</v>
      </c>
      <c r="K17" s="28"/>
      <c r="L17" s="28"/>
      <c r="P17" s="28"/>
      <c r="Q17" s="28"/>
    </row>
    <row r="18">
      <c r="A18" s="17" t="s">
        <v>111</v>
      </c>
      <c r="B18" s="17" t="s">
        <v>112</v>
      </c>
      <c r="C18" s="25" t="s">
        <v>94</v>
      </c>
      <c r="D18" s="29" t="s">
        <v>87</v>
      </c>
      <c r="K18" s="28"/>
      <c r="L18" s="28"/>
      <c r="P18" s="28"/>
      <c r="Q18" s="28"/>
    </row>
    <row r="19">
      <c r="H19" s="13"/>
      <c r="I19" s="13"/>
      <c r="K19" s="28"/>
      <c r="L19" s="28"/>
      <c r="P19" s="28"/>
      <c r="Q19" s="28"/>
    </row>
    <row r="20">
      <c r="A20" s="5" t="s">
        <v>77</v>
      </c>
      <c r="B20" s="9"/>
      <c r="C20" s="9"/>
      <c r="D20" s="9"/>
      <c r="H20" s="13"/>
      <c r="I20" s="13"/>
      <c r="K20" s="28"/>
      <c r="L20" s="28"/>
      <c r="M20" s="28"/>
    </row>
    <row r="21">
      <c r="A21" s="5" t="s">
        <v>78</v>
      </c>
      <c r="B21" s="5" t="s">
        <v>79</v>
      </c>
      <c r="C21" s="5" t="s">
        <v>80</v>
      </c>
      <c r="D21" s="5" t="s">
        <v>81</v>
      </c>
      <c r="H21" s="13"/>
      <c r="I21" s="13"/>
    </row>
    <row r="22">
      <c r="A22" s="30" t="s">
        <v>113</v>
      </c>
      <c r="B22" s="27" t="s">
        <v>7</v>
      </c>
      <c r="C22" s="30" t="s">
        <v>34</v>
      </c>
      <c r="D22" s="17" t="s">
        <v>114</v>
      </c>
      <c r="H22" s="13"/>
    </row>
    <row r="23">
      <c r="H23" s="13"/>
    </row>
  </sheetData>
  <mergeCells count="3">
    <mergeCell ref="B3:G3"/>
    <mergeCell ref="K5:Q5"/>
    <mergeCell ref="A16:D16"/>
  </mergeCells>
  <drawing r:id="rId4"/>
  <legacyDrawing r:id="rId5"/>
  <tableParts count="1">
    <tablePart r:id="rId7"/>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22.0"/>
    <col customWidth="1" min="7" max="7" width="25.63"/>
    <col customWidth="1" min="9" max="9" width="16.25"/>
    <col customWidth="1" min="10" max="10" width="2.63"/>
    <col customWidth="1" min="11" max="13" width="2.38"/>
    <col customWidth="1" min="14" max="14" width="2.13"/>
    <col customWidth="1" min="15" max="15" width="2.38"/>
    <col customWidth="1" min="16" max="16" width="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74.0</v>
      </c>
      <c r="C6" s="10">
        <v>97.0</v>
      </c>
      <c r="D6" s="11">
        <f t="shared" ref="D6:D12" si="1">AVERAGE(B6:C6)</f>
        <v>85.5</v>
      </c>
      <c r="E6" s="10">
        <f t="shared" ref="E6:E12" si="2">ROUND(F6*H6,0)</f>
        <v>75</v>
      </c>
      <c r="F6" s="10">
        <f>ROUND(F7 * 0.9,0)</f>
        <v>115</v>
      </c>
      <c r="G6" s="10">
        <f t="shared" ref="G6:G12" si="3">AVERAGE(E6:F6)</f>
        <v>95</v>
      </c>
      <c r="H6" s="10">
        <v>0.65</v>
      </c>
    </row>
    <row r="7" ht="22.5" customHeight="1">
      <c r="A7" s="10">
        <v>0.0</v>
      </c>
      <c r="B7" s="10">
        <v>81.0</v>
      </c>
      <c r="C7" s="10">
        <v>104.0</v>
      </c>
      <c r="D7" s="11">
        <f t="shared" si="1"/>
        <v>92.5</v>
      </c>
      <c r="E7" s="10">
        <f t="shared" si="2"/>
        <v>83</v>
      </c>
      <c r="F7" s="10">
        <v>128.0</v>
      </c>
      <c r="G7" s="10">
        <f t="shared" si="3"/>
        <v>105.5</v>
      </c>
      <c r="H7" s="10">
        <v>0.65</v>
      </c>
    </row>
    <row r="8" ht="22.5" customHeight="1">
      <c r="A8" s="10">
        <v>1.0</v>
      </c>
      <c r="B8" s="10">
        <v>90.0</v>
      </c>
      <c r="C8" s="10">
        <v>115.0</v>
      </c>
      <c r="D8" s="11">
        <f t="shared" si="1"/>
        <v>102.5</v>
      </c>
      <c r="E8" s="10">
        <f t="shared" si="2"/>
        <v>92</v>
      </c>
      <c r="F8" s="10">
        <f t="shared" ref="F8:F12" si="4">ROUND(F7*1.1,0)</f>
        <v>141</v>
      </c>
      <c r="G8" s="10">
        <f t="shared" si="3"/>
        <v>116.5</v>
      </c>
      <c r="H8" s="10">
        <v>0.65</v>
      </c>
    </row>
    <row r="9" ht="22.5" customHeight="1">
      <c r="A9" s="10">
        <v>2.0</v>
      </c>
      <c r="B9" s="10">
        <v>100.0</v>
      </c>
      <c r="C9" s="10">
        <v>128.0</v>
      </c>
      <c r="D9" s="11">
        <f t="shared" si="1"/>
        <v>114</v>
      </c>
      <c r="E9" s="10">
        <f t="shared" si="2"/>
        <v>101</v>
      </c>
      <c r="F9" s="10">
        <f t="shared" si="4"/>
        <v>155</v>
      </c>
      <c r="G9" s="10">
        <f t="shared" si="3"/>
        <v>128</v>
      </c>
      <c r="H9" s="10">
        <v>0.65</v>
      </c>
    </row>
    <row r="10" ht="16.5" customHeight="1">
      <c r="A10" s="10">
        <v>3.0</v>
      </c>
      <c r="B10" s="10">
        <v>111.0</v>
      </c>
      <c r="C10" s="10">
        <v>142.0</v>
      </c>
      <c r="D10" s="11">
        <f t="shared" si="1"/>
        <v>126.5</v>
      </c>
      <c r="E10" s="10">
        <f t="shared" si="2"/>
        <v>111</v>
      </c>
      <c r="F10" s="10">
        <f t="shared" si="4"/>
        <v>171</v>
      </c>
      <c r="G10" s="10">
        <f t="shared" si="3"/>
        <v>141</v>
      </c>
      <c r="H10" s="10">
        <v>0.65</v>
      </c>
    </row>
    <row r="11" ht="22.5" customHeight="1">
      <c r="A11" s="10">
        <v>4.0</v>
      </c>
      <c r="B11" s="10">
        <v>123.0</v>
      </c>
      <c r="C11" s="10">
        <v>158.0</v>
      </c>
      <c r="D11" s="11">
        <f t="shared" si="1"/>
        <v>140.5</v>
      </c>
      <c r="E11" s="10">
        <f t="shared" si="2"/>
        <v>122</v>
      </c>
      <c r="F11" s="10">
        <f t="shared" si="4"/>
        <v>188</v>
      </c>
      <c r="G11" s="10">
        <f t="shared" si="3"/>
        <v>155</v>
      </c>
      <c r="H11" s="10">
        <v>0.65</v>
      </c>
    </row>
    <row r="12" ht="22.5" customHeight="1">
      <c r="A12" s="10">
        <v>5.0</v>
      </c>
      <c r="B12" s="10">
        <v>137.0</v>
      </c>
      <c r="C12" s="10">
        <v>175.0</v>
      </c>
      <c r="D12" s="11">
        <f t="shared" si="1"/>
        <v>156</v>
      </c>
      <c r="E12" s="10">
        <f t="shared" si="2"/>
        <v>135</v>
      </c>
      <c r="F12" s="10">
        <f t="shared" si="4"/>
        <v>207</v>
      </c>
      <c r="G12" s="10">
        <f t="shared" si="3"/>
        <v>171</v>
      </c>
      <c r="H12" s="10">
        <v>0.65</v>
      </c>
      <c r="L12" s="31"/>
      <c r="M12" s="31"/>
      <c r="N12" s="31"/>
    </row>
    <row r="13">
      <c r="I13" s="1" t="s">
        <v>115</v>
      </c>
      <c r="L13" s="31"/>
      <c r="M13" s="31"/>
      <c r="N13" s="31"/>
    </row>
    <row r="14">
      <c r="L14" s="19"/>
      <c r="M14" s="19"/>
      <c r="N14" s="19"/>
    </row>
    <row r="15">
      <c r="M15" s="32"/>
    </row>
    <row r="16">
      <c r="A16" s="6" t="s">
        <v>70</v>
      </c>
      <c r="B16" s="7"/>
      <c r="C16" s="7"/>
      <c r="D16" s="12"/>
    </row>
    <row r="17">
      <c r="A17" s="5" t="s">
        <v>71</v>
      </c>
      <c r="B17" s="5" t="s">
        <v>72</v>
      </c>
      <c r="C17" s="6" t="s">
        <v>73</v>
      </c>
      <c r="D17" s="6" t="s">
        <v>96</v>
      </c>
      <c r="E17" s="5" t="s">
        <v>116</v>
      </c>
      <c r="F17" s="5" t="s">
        <v>91</v>
      </c>
    </row>
    <row r="18">
      <c r="A18" s="17" t="s">
        <v>87</v>
      </c>
      <c r="B18" s="17" t="s">
        <v>117</v>
      </c>
      <c r="C18" s="17" t="s">
        <v>118</v>
      </c>
      <c r="D18" s="17" t="s">
        <v>119</v>
      </c>
      <c r="E18" s="17" t="s">
        <v>120</v>
      </c>
      <c r="F18" s="17" t="s">
        <v>121</v>
      </c>
      <c r="H18" s="33"/>
    </row>
    <row r="20">
      <c r="A20" s="1" t="s">
        <v>77</v>
      </c>
    </row>
    <row r="21">
      <c r="A21" s="1" t="s">
        <v>78</v>
      </c>
      <c r="B21" s="1" t="s">
        <v>79</v>
      </c>
      <c r="C21" s="1" t="s">
        <v>80</v>
      </c>
      <c r="D21" s="1" t="s">
        <v>81</v>
      </c>
    </row>
    <row r="22" ht="36.0" customHeight="1">
      <c r="A22" s="34" t="s">
        <v>122</v>
      </c>
      <c r="B22" s="34" t="s">
        <v>8</v>
      </c>
      <c r="C22" s="34" t="s">
        <v>36</v>
      </c>
      <c r="D22" s="23" t="s">
        <v>123</v>
      </c>
    </row>
  </sheetData>
  <mergeCells count="2">
    <mergeCell ref="B3:G3"/>
    <mergeCell ref="A16:C16"/>
  </mergeCells>
  <drawing r:id="rId4"/>
  <legacyDrawing r:id="rId5"/>
  <tableParts count="1">
    <tablePart r:id="rId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52.0</v>
      </c>
      <c r="C6" s="10">
        <v>99.0</v>
      </c>
      <c r="D6" s="11">
        <f t="shared" ref="D6:D12" si="1">AVERAGE(B6:C6)</f>
        <v>75.5</v>
      </c>
      <c r="E6" s="10">
        <f t="shared" ref="E6:E12" si="2">ROUND(F6*H6,0)</f>
        <v>52</v>
      </c>
      <c r="F6" s="10">
        <f>ROUND(F7 * 0.9,0)</f>
        <v>104</v>
      </c>
      <c r="G6" s="10">
        <f t="shared" ref="G6:G12" si="3">AVERAGE(E6:F6)</f>
        <v>78</v>
      </c>
      <c r="H6" s="10">
        <v>0.5</v>
      </c>
    </row>
    <row r="7" ht="22.5" customHeight="1">
      <c r="A7" s="10">
        <v>0.0</v>
      </c>
      <c r="B7" s="10">
        <v>55.0</v>
      </c>
      <c r="C7" s="10">
        <v>105.0</v>
      </c>
      <c r="D7" s="11">
        <f t="shared" si="1"/>
        <v>80</v>
      </c>
      <c r="E7" s="10">
        <f t="shared" si="2"/>
        <v>58</v>
      </c>
      <c r="F7" s="10">
        <v>116.0</v>
      </c>
      <c r="G7" s="10">
        <f t="shared" si="3"/>
        <v>87</v>
      </c>
      <c r="H7" s="10">
        <v>0.5</v>
      </c>
    </row>
    <row r="8" ht="22.5" customHeight="1">
      <c r="A8" s="10">
        <v>1.0</v>
      </c>
      <c r="B8" s="10">
        <v>61.0</v>
      </c>
      <c r="C8" s="10">
        <v>117.0</v>
      </c>
      <c r="D8" s="11">
        <f t="shared" si="1"/>
        <v>89</v>
      </c>
      <c r="E8" s="10">
        <f t="shared" si="2"/>
        <v>64</v>
      </c>
      <c r="F8" s="10">
        <f t="shared" ref="F8:F12" si="4">ROUND(F7*1.1,0)</f>
        <v>128</v>
      </c>
      <c r="G8" s="10">
        <f t="shared" si="3"/>
        <v>96</v>
      </c>
      <c r="H8" s="10">
        <v>0.5</v>
      </c>
    </row>
    <row r="9" ht="22.5" customHeight="1">
      <c r="A9" s="10">
        <v>2.0</v>
      </c>
      <c r="B9" s="10">
        <v>68.0</v>
      </c>
      <c r="C9" s="10">
        <v>130.0</v>
      </c>
      <c r="D9" s="11">
        <f t="shared" si="1"/>
        <v>99</v>
      </c>
      <c r="E9" s="10">
        <f t="shared" si="2"/>
        <v>71</v>
      </c>
      <c r="F9" s="10">
        <f t="shared" si="4"/>
        <v>141</v>
      </c>
      <c r="G9" s="10">
        <f t="shared" si="3"/>
        <v>106</v>
      </c>
      <c r="H9" s="10">
        <v>0.5</v>
      </c>
    </row>
    <row r="10" ht="22.5" customHeight="1">
      <c r="A10" s="10">
        <v>3.0</v>
      </c>
      <c r="B10" s="10">
        <v>75.0</v>
      </c>
      <c r="C10" s="10">
        <v>144.0</v>
      </c>
      <c r="D10" s="11">
        <f t="shared" si="1"/>
        <v>109.5</v>
      </c>
      <c r="E10" s="10">
        <f t="shared" si="2"/>
        <v>78</v>
      </c>
      <c r="F10" s="10">
        <f t="shared" si="4"/>
        <v>155</v>
      </c>
      <c r="G10" s="10">
        <f t="shared" si="3"/>
        <v>116.5</v>
      </c>
      <c r="H10" s="10">
        <v>0.5</v>
      </c>
    </row>
    <row r="11" ht="22.5" customHeight="1">
      <c r="A11" s="10">
        <v>4.0</v>
      </c>
      <c r="B11" s="10">
        <v>83.0</v>
      </c>
      <c r="C11" s="10">
        <v>160.0</v>
      </c>
      <c r="D11" s="11">
        <f t="shared" si="1"/>
        <v>121.5</v>
      </c>
      <c r="E11" s="10">
        <f t="shared" si="2"/>
        <v>86</v>
      </c>
      <c r="F11" s="10">
        <f t="shared" si="4"/>
        <v>171</v>
      </c>
      <c r="G11" s="10">
        <f t="shared" si="3"/>
        <v>128.5</v>
      </c>
      <c r="H11" s="10">
        <v>0.5</v>
      </c>
    </row>
    <row r="12" ht="22.5" customHeight="1">
      <c r="A12" s="10">
        <v>5.0</v>
      </c>
      <c r="B12" s="10">
        <v>92.0</v>
      </c>
      <c r="C12" s="10">
        <v>178.0</v>
      </c>
      <c r="D12" s="11">
        <f t="shared" si="1"/>
        <v>135</v>
      </c>
      <c r="E12" s="10">
        <f t="shared" si="2"/>
        <v>94</v>
      </c>
      <c r="F12" s="10">
        <f t="shared" si="4"/>
        <v>188</v>
      </c>
      <c r="G12" s="10">
        <f t="shared" si="3"/>
        <v>141</v>
      </c>
      <c r="H12" s="10">
        <v>0.5</v>
      </c>
    </row>
    <row r="14">
      <c r="A14" s="6" t="s">
        <v>70</v>
      </c>
      <c r="B14" s="7"/>
      <c r="C14" s="8"/>
      <c r="D14" s="9"/>
      <c r="E14" s="9"/>
    </row>
    <row r="15" ht="21.75" customHeight="1">
      <c r="A15" s="5" t="s">
        <v>71</v>
      </c>
      <c r="B15" s="5" t="s">
        <v>72</v>
      </c>
      <c r="C15" s="5" t="s">
        <v>73</v>
      </c>
      <c r="D15" s="5" t="s">
        <v>96</v>
      </c>
      <c r="E15" s="5" t="s">
        <v>124</v>
      </c>
    </row>
    <row r="16">
      <c r="A16" s="35" t="s">
        <v>87</v>
      </c>
      <c r="B16" s="17" t="s">
        <v>125</v>
      </c>
      <c r="C16" s="17" t="s">
        <v>126</v>
      </c>
      <c r="D16" s="17" t="s">
        <v>127</v>
      </c>
      <c r="E16" s="14" t="s">
        <v>128</v>
      </c>
    </row>
    <row r="20">
      <c r="A20" s="1" t="s">
        <v>77</v>
      </c>
    </row>
    <row r="21">
      <c r="A21" s="1" t="s">
        <v>78</v>
      </c>
      <c r="B21" s="1" t="s">
        <v>79</v>
      </c>
      <c r="C21" s="1" t="s">
        <v>80</v>
      </c>
      <c r="D21" s="1" t="s">
        <v>81</v>
      </c>
    </row>
    <row r="22">
      <c r="A22" s="34" t="s">
        <v>129</v>
      </c>
      <c r="B22" s="34" t="s">
        <v>15</v>
      </c>
      <c r="C22" s="34" t="s">
        <v>130</v>
      </c>
      <c r="D22" s="23" t="s">
        <v>35</v>
      </c>
    </row>
    <row r="23">
      <c r="B23" s="34"/>
      <c r="C23" s="34"/>
      <c r="D23" s="34"/>
      <c r="E23" s="23"/>
    </row>
    <row r="24">
      <c r="C24" s="34"/>
    </row>
  </sheetData>
  <mergeCells count="2">
    <mergeCell ref="B3:G3"/>
    <mergeCell ref="A14:C14"/>
  </mergeCell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47.0</v>
      </c>
      <c r="C6" s="10">
        <v>55.0</v>
      </c>
      <c r="D6" s="11">
        <f t="shared" ref="D6:D12" si="1">AVERAGE(B6:C6)</f>
        <v>51</v>
      </c>
      <c r="E6" s="10">
        <f t="shared" ref="E6:E12" si="2">ROUND(F6*H6,0)</f>
        <v>54</v>
      </c>
      <c r="F6" s="10">
        <f>ROUND(F7 * 0.9,0)</f>
        <v>68</v>
      </c>
      <c r="G6" s="10">
        <f t="shared" ref="G6:G12" si="3">AVERAGE(E6:F6)</f>
        <v>61</v>
      </c>
      <c r="H6" s="10">
        <v>0.8</v>
      </c>
    </row>
    <row r="7" ht="22.5" customHeight="1">
      <c r="A7" s="10">
        <v>0.0</v>
      </c>
      <c r="B7" s="10">
        <v>49.0</v>
      </c>
      <c r="C7" s="10">
        <v>58.0</v>
      </c>
      <c r="D7" s="11">
        <f t="shared" si="1"/>
        <v>53.5</v>
      </c>
      <c r="E7" s="10">
        <f t="shared" si="2"/>
        <v>61</v>
      </c>
      <c r="F7" s="10">
        <v>76.0</v>
      </c>
      <c r="G7" s="10">
        <f t="shared" si="3"/>
        <v>68.5</v>
      </c>
      <c r="H7" s="10">
        <v>0.8</v>
      </c>
    </row>
    <row r="8" ht="22.5" customHeight="1">
      <c r="A8" s="10">
        <v>1.0</v>
      </c>
      <c r="B8" s="10">
        <v>54.0</v>
      </c>
      <c r="C8" s="10">
        <v>64.0</v>
      </c>
      <c r="D8" s="11">
        <f t="shared" si="1"/>
        <v>59</v>
      </c>
      <c r="E8" s="10">
        <f t="shared" si="2"/>
        <v>67</v>
      </c>
      <c r="F8" s="10">
        <f t="shared" ref="F8:F12" si="4">ROUND(F7*1.1,0)</f>
        <v>84</v>
      </c>
      <c r="G8" s="10">
        <f t="shared" si="3"/>
        <v>75.5</v>
      </c>
      <c r="H8" s="10">
        <v>0.8</v>
      </c>
    </row>
    <row r="9" ht="22.5" customHeight="1">
      <c r="A9" s="10">
        <v>2.0</v>
      </c>
      <c r="B9" s="10">
        <v>59.0</v>
      </c>
      <c r="C9" s="10">
        <v>70.0</v>
      </c>
      <c r="D9" s="11">
        <f t="shared" si="1"/>
        <v>64.5</v>
      </c>
      <c r="E9" s="10">
        <f t="shared" si="2"/>
        <v>74</v>
      </c>
      <c r="F9" s="10">
        <f t="shared" si="4"/>
        <v>92</v>
      </c>
      <c r="G9" s="10">
        <f t="shared" si="3"/>
        <v>83</v>
      </c>
      <c r="H9" s="10">
        <v>0.8</v>
      </c>
    </row>
    <row r="10" ht="22.5" customHeight="1">
      <c r="A10" s="10">
        <v>3.0</v>
      </c>
      <c r="B10" s="10">
        <v>65.0</v>
      </c>
      <c r="C10" s="10">
        <v>77.0</v>
      </c>
      <c r="D10" s="11">
        <f t="shared" si="1"/>
        <v>71</v>
      </c>
      <c r="E10" s="10">
        <f t="shared" si="2"/>
        <v>81</v>
      </c>
      <c r="F10" s="10">
        <f t="shared" si="4"/>
        <v>101</v>
      </c>
      <c r="G10" s="10">
        <f t="shared" si="3"/>
        <v>91</v>
      </c>
      <c r="H10" s="10">
        <v>0.8</v>
      </c>
    </row>
    <row r="11" ht="22.5" customHeight="1">
      <c r="A11" s="10">
        <v>4.0</v>
      </c>
      <c r="B11" s="10">
        <v>72.0</v>
      </c>
      <c r="C11" s="10">
        <v>85.0</v>
      </c>
      <c r="D11" s="11">
        <f t="shared" si="1"/>
        <v>78.5</v>
      </c>
      <c r="E11" s="10">
        <f t="shared" si="2"/>
        <v>89</v>
      </c>
      <c r="F11" s="10">
        <f t="shared" si="4"/>
        <v>111</v>
      </c>
      <c r="G11" s="10">
        <f t="shared" si="3"/>
        <v>100</v>
      </c>
      <c r="H11" s="10">
        <v>0.8</v>
      </c>
    </row>
    <row r="12" ht="22.5" customHeight="1">
      <c r="A12" s="10">
        <v>5.0</v>
      </c>
      <c r="B12" s="10">
        <v>79.0</v>
      </c>
      <c r="C12" s="10">
        <v>94.0</v>
      </c>
      <c r="D12" s="11">
        <f t="shared" si="1"/>
        <v>86.5</v>
      </c>
      <c r="E12" s="10">
        <f t="shared" si="2"/>
        <v>98</v>
      </c>
      <c r="F12" s="10">
        <f t="shared" si="4"/>
        <v>122</v>
      </c>
      <c r="G12" s="10">
        <f t="shared" si="3"/>
        <v>110</v>
      </c>
      <c r="H12" s="10">
        <v>0.8</v>
      </c>
    </row>
    <row r="14" ht="11.25" customHeight="1">
      <c r="K14" s="1"/>
    </row>
    <row r="15">
      <c r="A15" s="6" t="s">
        <v>70</v>
      </c>
      <c r="B15" s="7"/>
      <c r="C15" s="7"/>
      <c r="L15" s="1"/>
    </row>
    <row r="16" ht="39.0" customHeight="1">
      <c r="A16" s="5" t="s">
        <v>71</v>
      </c>
      <c r="B16" s="5" t="s">
        <v>72</v>
      </c>
      <c r="C16" s="6" t="s">
        <v>73</v>
      </c>
      <c r="L16" s="1"/>
      <c r="M16" s="1"/>
      <c r="N16" s="1"/>
    </row>
    <row r="17" ht="138.0" customHeight="1">
      <c r="A17" s="17" t="s">
        <v>131</v>
      </c>
      <c r="B17" s="17" t="s">
        <v>132</v>
      </c>
      <c r="C17" s="25" t="s">
        <v>87</v>
      </c>
      <c r="L17" s="23"/>
      <c r="M17" s="23"/>
      <c r="N17" s="23"/>
    </row>
    <row r="20">
      <c r="A20" s="1" t="s">
        <v>86</v>
      </c>
    </row>
    <row r="21">
      <c r="A21" s="1" t="s">
        <v>78</v>
      </c>
      <c r="B21" s="1" t="s">
        <v>79</v>
      </c>
      <c r="C21" s="1" t="s">
        <v>80</v>
      </c>
      <c r="D21" s="1" t="s">
        <v>81</v>
      </c>
    </row>
    <row r="22">
      <c r="A22" s="34" t="s">
        <v>123</v>
      </c>
      <c r="B22" s="34" t="s">
        <v>133</v>
      </c>
      <c r="C22" s="34" t="s">
        <v>32</v>
      </c>
      <c r="D22" s="23" t="s">
        <v>13</v>
      </c>
    </row>
  </sheetData>
  <mergeCells count="3">
    <mergeCell ref="B3:G3"/>
    <mergeCell ref="A15:C15"/>
    <mergeCell ref="L15:N15"/>
  </mergeCells>
  <drawing r:id="rId4"/>
  <legacyDrawing r:id="rId5"/>
  <tableParts count="1">
    <tablePart r:id="rId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2.75"/>
    <col customWidth="1" min="10" max="10" width="2.5"/>
    <col customWidth="1" min="11" max="11" width="2.63"/>
    <col customWidth="1" min="12" max="18"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95.0</v>
      </c>
      <c r="C6" s="10">
        <v>123.0</v>
      </c>
      <c r="D6" s="11">
        <f t="shared" ref="D6:D12" si="1">AVERAGE(B6:C6)</f>
        <v>109</v>
      </c>
      <c r="E6" s="10">
        <f t="shared" ref="E6:E12" si="2">ROUND(F6*H6,0)</f>
        <v>94</v>
      </c>
      <c r="F6" s="10">
        <f>ROUND(F7 * 0.9,0)</f>
        <v>117</v>
      </c>
      <c r="G6" s="10">
        <f t="shared" ref="G6:G12" si="3">AVERAGE(E6:F6)</f>
        <v>105.5</v>
      </c>
      <c r="H6" s="10">
        <v>0.8</v>
      </c>
    </row>
    <row r="7" ht="22.5" customHeight="1">
      <c r="A7" s="10">
        <v>0.0</v>
      </c>
      <c r="B7" s="10">
        <v>100.0</v>
      </c>
      <c r="C7" s="10">
        <v>130.0</v>
      </c>
      <c r="D7" s="11">
        <f t="shared" si="1"/>
        <v>115</v>
      </c>
      <c r="E7" s="10">
        <f t="shared" si="2"/>
        <v>104</v>
      </c>
      <c r="F7" s="10">
        <v>130.0</v>
      </c>
      <c r="G7" s="10">
        <f t="shared" si="3"/>
        <v>117</v>
      </c>
      <c r="H7" s="10">
        <v>0.8</v>
      </c>
    </row>
    <row r="8" ht="22.5" customHeight="1">
      <c r="A8" s="10">
        <v>1.0</v>
      </c>
      <c r="B8" s="10">
        <v>110.0</v>
      </c>
      <c r="C8" s="10">
        <v>143.0</v>
      </c>
      <c r="D8" s="11">
        <f t="shared" si="1"/>
        <v>126.5</v>
      </c>
      <c r="E8" s="10">
        <f t="shared" si="2"/>
        <v>114</v>
      </c>
      <c r="F8" s="10">
        <f t="shared" ref="F8:F12" si="4">ROUND(F7*1.1,0)</f>
        <v>143</v>
      </c>
      <c r="G8" s="10">
        <f t="shared" si="3"/>
        <v>128.5</v>
      </c>
      <c r="H8" s="10">
        <v>0.8</v>
      </c>
    </row>
    <row r="9" ht="22.5" customHeight="1">
      <c r="A9" s="10">
        <v>2.0</v>
      </c>
      <c r="B9" s="10">
        <v>121.0</v>
      </c>
      <c r="C9" s="10">
        <v>157.0</v>
      </c>
      <c r="D9" s="11">
        <f t="shared" si="1"/>
        <v>139</v>
      </c>
      <c r="E9" s="10">
        <f t="shared" si="2"/>
        <v>126</v>
      </c>
      <c r="F9" s="10">
        <f t="shared" si="4"/>
        <v>157</v>
      </c>
      <c r="G9" s="10">
        <f t="shared" si="3"/>
        <v>141.5</v>
      </c>
      <c r="H9" s="10">
        <v>0.8</v>
      </c>
    </row>
    <row r="10" ht="22.5" customHeight="1">
      <c r="A10" s="10">
        <v>3.0</v>
      </c>
      <c r="B10" s="10">
        <v>133.0</v>
      </c>
      <c r="C10" s="10">
        <v>173.0</v>
      </c>
      <c r="D10" s="11">
        <f t="shared" si="1"/>
        <v>153</v>
      </c>
      <c r="E10" s="10">
        <f t="shared" si="2"/>
        <v>138</v>
      </c>
      <c r="F10" s="10">
        <f t="shared" si="4"/>
        <v>173</v>
      </c>
      <c r="G10" s="10">
        <f t="shared" si="3"/>
        <v>155.5</v>
      </c>
      <c r="H10" s="10">
        <v>0.8</v>
      </c>
    </row>
    <row r="11" ht="22.5" customHeight="1">
      <c r="A11" s="10">
        <v>4.0</v>
      </c>
      <c r="B11" s="10">
        <v>146.0</v>
      </c>
      <c r="C11" s="10">
        <v>190.0</v>
      </c>
      <c r="D11" s="11">
        <f t="shared" si="1"/>
        <v>168</v>
      </c>
      <c r="E11" s="10">
        <f t="shared" si="2"/>
        <v>152</v>
      </c>
      <c r="F11" s="10">
        <f t="shared" si="4"/>
        <v>190</v>
      </c>
      <c r="G11" s="10">
        <f t="shared" si="3"/>
        <v>171</v>
      </c>
      <c r="H11" s="10">
        <v>0.8</v>
      </c>
    </row>
    <row r="12" ht="22.5" customHeight="1">
      <c r="A12" s="10">
        <v>5.0</v>
      </c>
      <c r="B12" s="10">
        <v>161.0</v>
      </c>
      <c r="C12" s="10">
        <v>209.0</v>
      </c>
      <c r="D12" s="11">
        <f t="shared" si="1"/>
        <v>185</v>
      </c>
      <c r="E12" s="10">
        <f t="shared" si="2"/>
        <v>167</v>
      </c>
      <c r="F12" s="10">
        <f t="shared" si="4"/>
        <v>209</v>
      </c>
      <c r="G12" s="10">
        <f t="shared" si="3"/>
        <v>188</v>
      </c>
      <c r="H12" s="10">
        <v>0.8</v>
      </c>
    </row>
    <row r="14">
      <c r="A14" s="6" t="s">
        <v>70</v>
      </c>
      <c r="B14" s="7"/>
      <c r="C14" s="7"/>
      <c r="D14" s="7"/>
    </row>
    <row r="15">
      <c r="A15" s="5" t="s">
        <v>71</v>
      </c>
      <c r="B15" s="5" t="s">
        <v>72</v>
      </c>
      <c r="C15" s="6" t="s">
        <v>73</v>
      </c>
      <c r="D15" s="12" t="s">
        <v>96</v>
      </c>
    </row>
    <row r="16" ht="154.5" customHeight="1">
      <c r="A16" s="17" t="s">
        <v>134</v>
      </c>
      <c r="B16" s="17" t="s">
        <v>135</v>
      </c>
      <c r="C16" s="25" t="s">
        <v>87</v>
      </c>
      <c r="D16" s="29" t="s">
        <v>87</v>
      </c>
      <c r="I16" s="1"/>
    </row>
    <row r="17">
      <c r="A17" s="1"/>
      <c r="L17" s="13"/>
    </row>
    <row r="18">
      <c r="K18" s="13"/>
      <c r="M18" s="13"/>
    </row>
    <row r="19">
      <c r="M19" s="13"/>
      <c r="N19" s="13"/>
    </row>
    <row r="20">
      <c r="A20" s="1" t="s">
        <v>86</v>
      </c>
      <c r="K20" s="13"/>
      <c r="M20" s="13"/>
    </row>
    <row r="21">
      <c r="A21" s="1" t="s">
        <v>136</v>
      </c>
      <c r="B21" s="1" t="s">
        <v>79</v>
      </c>
      <c r="C21" s="1" t="s">
        <v>80</v>
      </c>
      <c r="D21" s="1" t="s">
        <v>81</v>
      </c>
      <c r="I21" s="28"/>
      <c r="J21" s="28"/>
      <c r="K21" s="28"/>
      <c r="L21" s="13"/>
      <c r="M21" s="28"/>
      <c r="N21" s="28"/>
      <c r="O21" s="28"/>
      <c r="P21" s="28"/>
      <c r="Q21" s="28"/>
      <c r="R21" s="28"/>
    </row>
    <row r="22">
      <c r="A22" s="1" t="s">
        <v>7</v>
      </c>
      <c r="B22" s="34" t="s">
        <v>15</v>
      </c>
      <c r="C22" s="34" t="s">
        <v>107</v>
      </c>
      <c r="D22" s="23" t="s">
        <v>137</v>
      </c>
      <c r="L22" s="13"/>
    </row>
    <row r="23">
      <c r="L23" s="13"/>
    </row>
  </sheetData>
  <mergeCells count="2">
    <mergeCell ref="B3:G3"/>
    <mergeCell ref="A14:D14"/>
  </mergeCells>
  <drawing r:id="rId4"/>
  <legacyDrawing r:id="rId5"/>
  <tableParts count="1">
    <tablePart r:id="rId7"/>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10" max="10" width="24.5"/>
    <col customWidth="1" min="11" max="18" width="2.75"/>
    <col customWidth="1" min="19" max="19"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81.0</v>
      </c>
      <c r="D6" s="11">
        <f t="shared" ref="D6:D12" si="1">AVERAGE(B6:C6)</f>
        <v>74</v>
      </c>
      <c r="E6" s="10">
        <f t="shared" ref="E6:E12" si="2">ROUND(F6*H6,0)</f>
        <v>69</v>
      </c>
      <c r="F6" s="10">
        <f>ROUND(F7 * 0.9,0)</f>
        <v>86</v>
      </c>
      <c r="G6" s="10">
        <f t="shared" ref="G6:G12" si="3">AVERAGE(E6:F6)</f>
        <v>77.5</v>
      </c>
      <c r="H6" s="10">
        <v>0.8</v>
      </c>
    </row>
    <row r="7" ht="22.5" customHeight="1">
      <c r="A7" s="10">
        <v>0.0</v>
      </c>
      <c r="B7" s="10">
        <v>70.0</v>
      </c>
      <c r="C7" s="10">
        <v>85.0</v>
      </c>
      <c r="D7" s="11">
        <f t="shared" si="1"/>
        <v>77.5</v>
      </c>
      <c r="E7" s="10">
        <f t="shared" si="2"/>
        <v>76</v>
      </c>
      <c r="F7" s="10">
        <v>95.0</v>
      </c>
      <c r="G7" s="10">
        <f t="shared" si="3"/>
        <v>85.5</v>
      </c>
      <c r="H7" s="10">
        <v>0.8</v>
      </c>
    </row>
    <row r="8" ht="22.5" customHeight="1">
      <c r="A8" s="10">
        <v>1.0</v>
      </c>
      <c r="B8" s="10">
        <v>77.0</v>
      </c>
      <c r="C8" s="10">
        <v>94.0</v>
      </c>
      <c r="D8" s="11">
        <f t="shared" si="1"/>
        <v>85.5</v>
      </c>
      <c r="E8" s="10">
        <f t="shared" si="2"/>
        <v>84</v>
      </c>
      <c r="F8" s="10">
        <f t="shared" ref="F8:F12" si="4">ROUND(F7*1.1,0)</f>
        <v>105</v>
      </c>
      <c r="G8" s="10">
        <f t="shared" si="3"/>
        <v>94.5</v>
      </c>
      <c r="H8" s="10">
        <v>0.8</v>
      </c>
    </row>
    <row r="9" ht="22.5" customHeight="1">
      <c r="A9" s="10">
        <v>2.0</v>
      </c>
      <c r="B9" s="10">
        <v>85.0</v>
      </c>
      <c r="C9" s="10">
        <v>103.0</v>
      </c>
      <c r="D9" s="11">
        <f t="shared" si="1"/>
        <v>94</v>
      </c>
      <c r="E9" s="10">
        <f t="shared" si="2"/>
        <v>93</v>
      </c>
      <c r="F9" s="10">
        <f t="shared" si="4"/>
        <v>116</v>
      </c>
      <c r="G9" s="10">
        <f t="shared" si="3"/>
        <v>104.5</v>
      </c>
      <c r="H9" s="10">
        <v>0.8</v>
      </c>
    </row>
    <row r="10" ht="22.5" customHeight="1">
      <c r="A10" s="10">
        <v>3.0</v>
      </c>
      <c r="B10" s="10">
        <v>94.0</v>
      </c>
      <c r="C10" s="10">
        <v>113.0</v>
      </c>
      <c r="D10" s="11">
        <f t="shared" si="1"/>
        <v>103.5</v>
      </c>
      <c r="E10" s="10">
        <f t="shared" si="2"/>
        <v>102</v>
      </c>
      <c r="F10" s="10">
        <f t="shared" si="4"/>
        <v>128</v>
      </c>
      <c r="G10" s="10">
        <f t="shared" si="3"/>
        <v>115</v>
      </c>
      <c r="H10" s="10">
        <v>0.8</v>
      </c>
    </row>
    <row r="11" ht="22.5" customHeight="1">
      <c r="A11" s="10">
        <v>4.0</v>
      </c>
      <c r="B11" s="10">
        <v>103.0</v>
      </c>
      <c r="C11" s="10">
        <v>124.0</v>
      </c>
      <c r="D11" s="11">
        <f t="shared" si="1"/>
        <v>113.5</v>
      </c>
      <c r="E11" s="10">
        <f t="shared" si="2"/>
        <v>113</v>
      </c>
      <c r="F11" s="10">
        <f t="shared" si="4"/>
        <v>141</v>
      </c>
      <c r="G11" s="10">
        <f t="shared" si="3"/>
        <v>127</v>
      </c>
      <c r="H11" s="10">
        <v>0.8</v>
      </c>
    </row>
    <row r="12" ht="22.5" customHeight="1">
      <c r="A12" s="10">
        <v>5.0</v>
      </c>
      <c r="B12" s="10">
        <v>113.0</v>
      </c>
      <c r="C12" s="10">
        <v>146.0</v>
      </c>
      <c r="D12" s="11">
        <f t="shared" si="1"/>
        <v>129.5</v>
      </c>
      <c r="E12" s="10">
        <f t="shared" si="2"/>
        <v>124</v>
      </c>
      <c r="F12" s="10">
        <f t="shared" si="4"/>
        <v>155</v>
      </c>
      <c r="G12" s="10">
        <f t="shared" si="3"/>
        <v>139.5</v>
      </c>
      <c r="H12" s="10">
        <v>0.8</v>
      </c>
    </row>
    <row r="13">
      <c r="K13" s="12"/>
      <c r="L13" s="1"/>
    </row>
    <row r="14">
      <c r="A14" s="6" t="s">
        <v>70</v>
      </c>
      <c r="B14" s="7"/>
      <c r="C14" s="8"/>
      <c r="K14" s="1"/>
    </row>
    <row r="15" ht="51.75" customHeight="1">
      <c r="A15" s="5" t="s">
        <v>71</v>
      </c>
      <c r="B15" s="5" t="s">
        <v>72</v>
      </c>
      <c r="C15" s="5" t="s">
        <v>73</v>
      </c>
      <c r="D15" s="5" t="s">
        <v>138</v>
      </c>
    </row>
    <row r="16" ht="43.5" customHeight="1">
      <c r="A16" s="14" t="s">
        <v>139</v>
      </c>
      <c r="B16" s="14" t="s">
        <v>140</v>
      </c>
      <c r="C16" s="14" t="s">
        <v>141</v>
      </c>
      <c r="D16" s="14" t="s">
        <v>142</v>
      </c>
    </row>
    <row r="18">
      <c r="M18" s="13"/>
    </row>
    <row r="19">
      <c r="M19" s="13"/>
    </row>
    <row r="20">
      <c r="A20" s="1" t="s">
        <v>86</v>
      </c>
      <c r="M20" s="13"/>
    </row>
    <row r="21">
      <c r="A21" s="1" t="s">
        <v>78</v>
      </c>
      <c r="B21" s="1" t="s">
        <v>79</v>
      </c>
      <c r="C21" s="1" t="s">
        <v>80</v>
      </c>
      <c r="D21" s="1" t="s">
        <v>81</v>
      </c>
      <c r="M21" s="13"/>
    </row>
    <row r="22">
      <c r="A22" s="34" t="s">
        <v>15</v>
      </c>
      <c r="B22" s="34" t="s">
        <v>2</v>
      </c>
      <c r="C22" s="34" t="s">
        <v>16</v>
      </c>
      <c r="D22" s="23" t="s">
        <v>34</v>
      </c>
      <c r="M22" s="13"/>
    </row>
    <row r="23">
      <c r="M23" s="13"/>
    </row>
    <row r="24">
      <c r="M24" s="13"/>
    </row>
    <row r="25">
      <c r="M25" s="36"/>
    </row>
  </sheetData>
  <mergeCells count="3">
    <mergeCell ref="B3:G3"/>
    <mergeCell ref="A14:C14"/>
    <mergeCell ref="K16:O16"/>
  </mergeCells>
  <drawing r:id="rId4"/>
  <legacyDrawing r:id="rId5"/>
  <tableParts count="1">
    <tablePart r:id="rId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2.75"/>
    <col customWidth="1" min="13" max="13" width="2.5"/>
    <col customWidth="1" min="14" max="14" width="2.63"/>
    <col customWidth="1" min="15" max="16" width="3.13"/>
    <col customWidth="1" min="17" max="17" width="2.88"/>
    <col customWidth="1" min="18" max="18" width="2.0"/>
    <col customWidth="1" min="19" max="19" width="3.0"/>
    <col customWidth="1" min="20" max="25" width="2.75"/>
    <col customWidth="1" min="26" max="26" width="2.6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82.0</v>
      </c>
      <c r="C6" s="10">
        <v>111.0</v>
      </c>
      <c r="D6" s="11">
        <f t="shared" ref="D6:D12" si="1">AVERAGE(B6:C6)</f>
        <v>96.5</v>
      </c>
      <c r="E6" s="10">
        <f t="shared" ref="E6:E12" si="2">ROUND(F6*H6,0)</f>
        <v>63</v>
      </c>
      <c r="F6" s="10">
        <f>ROUND(F7 * 0.9,0)</f>
        <v>126</v>
      </c>
      <c r="G6" s="10">
        <f t="shared" ref="G6:G12" si="3">AVERAGE(E6:F6)</f>
        <v>94.5</v>
      </c>
      <c r="H6" s="10">
        <v>0.5</v>
      </c>
    </row>
    <row r="7" ht="22.5" customHeight="1">
      <c r="A7" s="10">
        <v>0.0</v>
      </c>
      <c r="B7" s="10">
        <v>84.0</v>
      </c>
      <c r="C7" s="10">
        <v>118.0</v>
      </c>
      <c r="D7" s="11">
        <f t="shared" si="1"/>
        <v>101</v>
      </c>
      <c r="E7" s="10">
        <f t="shared" si="2"/>
        <v>70</v>
      </c>
      <c r="F7" s="10">
        <v>140.0</v>
      </c>
      <c r="G7" s="10">
        <f t="shared" si="3"/>
        <v>105</v>
      </c>
      <c r="H7" s="10">
        <v>0.5</v>
      </c>
    </row>
    <row r="8" ht="22.5" customHeight="1">
      <c r="A8" s="10">
        <v>1.0</v>
      </c>
      <c r="B8" s="10">
        <v>88.0</v>
      </c>
      <c r="C8" s="10">
        <v>132.0</v>
      </c>
      <c r="D8" s="11">
        <f t="shared" si="1"/>
        <v>110</v>
      </c>
      <c r="E8" s="10">
        <f t="shared" si="2"/>
        <v>77</v>
      </c>
      <c r="F8" s="10">
        <f t="shared" ref="F8:F12" si="4">ROUND(F7*1.1,0)</f>
        <v>154</v>
      </c>
      <c r="G8" s="10">
        <f t="shared" si="3"/>
        <v>115.5</v>
      </c>
      <c r="H8" s="10">
        <v>0.5</v>
      </c>
    </row>
    <row r="9" ht="22.5" customHeight="1">
      <c r="A9" s="10">
        <v>2.0</v>
      </c>
      <c r="B9" s="10">
        <v>92.0</v>
      </c>
      <c r="C9" s="10">
        <v>148.0</v>
      </c>
      <c r="D9" s="11">
        <f t="shared" si="1"/>
        <v>120</v>
      </c>
      <c r="E9" s="10">
        <f t="shared" si="2"/>
        <v>85</v>
      </c>
      <c r="F9" s="10">
        <f t="shared" si="4"/>
        <v>169</v>
      </c>
      <c r="G9" s="10">
        <f t="shared" si="3"/>
        <v>127</v>
      </c>
      <c r="H9" s="10">
        <v>0.5</v>
      </c>
    </row>
    <row r="10" ht="15.75" customHeight="1">
      <c r="A10" s="10">
        <v>3.0</v>
      </c>
      <c r="B10" s="10">
        <v>97.0</v>
      </c>
      <c r="C10" s="10">
        <v>166.0</v>
      </c>
      <c r="D10" s="11">
        <f t="shared" si="1"/>
        <v>131.5</v>
      </c>
      <c r="E10" s="10">
        <f t="shared" si="2"/>
        <v>93</v>
      </c>
      <c r="F10" s="10">
        <f t="shared" si="4"/>
        <v>186</v>
      </c>
      <c r="G10" s="10">
        <f t="shared" si="3"/>
        <v>139.5</v>
      </c>
      <c r="H10" s="10">
        <v>0.5</v>
      </c>
    </row>
    <row r="11" ht="22.5" customHeight="1">
      <c r="A11" s="10">
        <v>4.0</v>
      </c>
      <c r="B11" s="10">
        <v>102.0</v>
      </c>
      <c r="C11" s="10">
        <v>186.0</v>
      </c>
      <c r="D11" s="11">
        <f t="shared" si="1"/>
        <v>144</v>
      </c>
      <c r="E11" s="10">
        <f t="shared" si="2"/>
        <v>103</v>
      </c>
      <c r="F11" s="10">
        <f t="shared" si="4"/>
        <v>205</v>
      </c>
      <c r="G11" s="10">
        <f t="shared" si="3"/>
        <v>154</v>
      </c>
      <c r="H11" s="10">
        <v>0.5</v>
      </c>
    </row>
    <row r="12" ht="22.5" customHeight="1">
      <c r="A12" s="10">
        <v>5.0</v>
      </c>
      <c r="B12" s="10">
        <v>107.0</v>
      </c>
      <c r="C12" s="10">
        <v>208.0</v>
      </c>
      <c r="D12" s="11">
        <f t="shared" si="1"/>
        <v>157.5</v>
      </c>
      <c r="E12" s="10">
        <f t="shared" si="2"/>
        <v>113</v>
      </c>
      <c r="F12" s="10">
        <f t="shared" si="4"/>
        <v>226</v>
      </c>
      <c r="G12" s="10">
        <f t="shared" si="3"/>
        <v>169.5</v>
      </c>
      <c r="H12" s="10">
        <v>0.5</v>
      </c>
    </row>
    <row r="14">
      <c r="A14" s="6" t="s">
        <v>70</v>
      </c>
      <c r="B14" s="7"/>
      <c r="C14" s="7"/>
      <c r="D14" s="7"/>
    </row>
    <row r="15">
      <c r="A15" s="5" t="s">
        <v>71</v>
      </c>
      <c r="B15" s="5" t="s">
        <v>72</v>
      </c>
      <c r="C15" s="6" t="s">
        <v>73</v>
      </c>
      <c r="D15" s="12" t="s">
        <v>96</v>
      </c>
      <c r="L15" s="28"/>
      <c r="M15" s="28"/>
      <c r="N15" s="28"/>
      <c r="O15" s="28"/>
      <c r="P15" s="28"/>
    </row>
    <row r="16">
      <c r="A16" s="17" t="s">
        <v>143</v>
      </c>
      <c r="B16" s="17" t="s">
        <v>144</v>
      </c>
      <c r="C16" s="25" t="s">
        <v>145</v>
      </c>
      <c r="D16" s="29" t="s">
        <v>146</v>
      </c>
    </row>
    <row r="20">
      <c r="A20" s="1" t="s">
        <v>86</v>
      </c>
    </row>
    <row r="21">
      <c r="A21" s="1" t="s">
        <v>78</v>
      </c>
      <c r="B21" s="1" t="s">
        <v>79</v>
      </c>
      <c r="C21" s="1" t="s">
        <v>80</v>
      </c>
      <c r="D21" s="1" t="s">
        <v>81</v>
      </c>
    </row>
    <row r="22">
      <c r="A22" s="34" t="s">
        <v>7</v>
      </c>
      <c r="B22" s="34" t="s">
        <v>147</v>
      </c>
      <c r="C22" s="34" t="s">
        <v>148</v>
      </c>
      <c r="D22" s="23" t="s">
        <v>130</v>
      </c>
    </row>
  </sheetData>
  <mergeCells count="4">
    <mergeCell ref="B3:G3"/>
    <mergeCell ref="L10:R10"/>
    <mergeCell ref="T10:Z10"/>
    <mergeCell ref="A14:D14"/>
  </mergeCells>
  <drawing r:id="rId4"/>
  <legacyDrawing r:id="rId5"/>
  <tableParts count="1">
    <tablePart r:id="rId7"/>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2.75"/>
    <col customWidth="1" min="13" max="13" width="2.5"/>
    <col customWidth="1" min="14" max="14" width="2.63"/>
    <col customWidth="1" min="15" max="16" width="3.13"/>
    <col customWidth="1" min="17" max="17" width="2.88"/>
    <col customWidth="1" min="18" max="18" width="2.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76.0</v>
      </c>
      <c r="C6" s="10">
        <v>113.0</v>
      </c>
      <c r="D6" s="11">
        <f t="shared" ref="D6:D12" si="1">AVERAGE(B6:C6)</f>
        <v>94.5</v>
      </c>
      <c r="E6" s="10">
        <f t="shared" ref="E6:E12" si="2">ROUND(F6*H6,0)</f>
        <v>61</v>
      </c>
      <c r="F6" s="10">
        <f>ROUND(F7 * 0.9,0)</f>
        <v>122</v>
      </c>
      <c r="G6" s="10">
        <f t="shared" ref="G6:G12" si="3">AVERAGE(E6:F6)</f>
        <v>91.5</v>
      </c>
      <c r="H6" s="10">
        <v>0.5</v>
      </c>
    </row>
    <row r="7" ht="22.5" customHeight="1">
      <c r="A7" s="10">
        <v>0.0</v>
      </c>
      <c r="B7" s="10">
        <v>78.0</v>
      </c>
      <c r="C7" s="10">
        <v>120.0</v>
      </c>
      <c r="D7" s="11">
        <f t="shared" si="1"/>
        <v>99</v>
      </c>
      <c r="E7" s="10">
        <f t="shared" si="2"/>
        <v>68</v>
      </c>
      <c r="F7" s="10">
        <v>136.0</v>
      </c>
      <c r="G7" s="10">
        <f t="shared" si="3"/>
        <v>102</v>
      </c>
      <c r="H7" s="10">
        <v>0.5</v>
      </c>
    </row>
    <row r="8" ht="22.5" customHeight="1">
      <c r="A8" s="10">
        <v>1.0</v>
      </c>
      <c r="B8" s="10">
        <v>82.0</v>
      </c>
      <c r="C8" s="10">
        <v>134.0</v>
      </c>
      <c r="D8" s="11">
        <f t="shared" si="1"/>
        <v>108</v>
      </c>
      <c r="E8" s="10">
        <f t="shared" si="2"/>
        <v>75</v>
      </c>
      <c r="F8" s="10">
        <f t="shared" ref="F8:F12" si="4">ROUND(F7*1.1,0)</f>
        <v>150</v>
      </c>
      <c r="G8" s="10">
        <f t="shared" si="3"/>
        <v>112.5</v>
      </c>
      <c r="H8" s="10">
        <v>0.5</v>
      </c>
    </row>
    <row r="9" ht="22.5" customHeight="1">
      <c r="A9" s="10">
        <v>2.0</v>
      </c>
      <c r="B9" s="10">
        <v>86.0</v>
      </c>
      <c r="C9" s="10">
        <v>150.0</v>
      </c>
      <c r="D9" s="11">
        <f t="shared" si="1"/>
        <v>118</v>
      </c>
      <c r="E9" s="10">
        <f t="shared" si="2"/>
        <v>83</v>
      </c>
      <c r="F9" s="10">
        <f t="shared" si="4"/>
        <v>165</v>
      </c>
      <c r="G9" s="10">
        <f t="shared" si="3"/>
        <v>124</v>
      </c>
      <c r="H9" s="10">
        <v>0.5</v>
      </c>
    </row>
    <row r="10" ht="22.5" customHeight="1">
      <c r="A10" s="10">
        <v>3.0</v>
      </c>
      <c r="B10" s="10">
        <v>90.0</v>
      </c>
      <c r="C10" s="10">
        <v>168.0</v>
      </c>
      <c r="D10" s="11">
        <f t="shared" si="1"/>
        <v>129</v>
      </c>
      <c r="E10" s="10">
        <f t="shared" si="2"/>
        <v>91</v>
      </c>
      <c r="F10" s="10">
        <f t="shared" si="4"/>
        <v>182</v>
      </c>
      <c r="G10" s="10">
        <f t="shared" si="3"/>
        <v>136.5</v>
      </c>
      <c r="H10" s="10">
        <v>0.5</v>
      </c>
    </row>
    <row r="11" ht="22.5" customHeight="1">
      <c r="A11" s="10">
        <v>4.0</v>
      </c>
      <c r="B11" s="10">
        <v>95.0</v>
      </c>
      <c r="C11" s="10">
        <v>188.0</v>
      </c>
      <c r="D11" s="11">
        <f t="shared" si="1"/>
        <v>141.5</v>
      </c>
      <c r="E11" s="10">
        <f t="shared" si="2"/>
        <v>100</v>
      </c>
      <c r="F11" s="10">
        <f t="shared" si="4"/>
        <v>200</v>
      </c>
      <c r="G11" s="10">
        <f t="shared" si="3"/>
        <v>150</v>
      </c>
      <c r="H11" s="10">
        <v>0.5</v>
      </c>
    </row>
    <row r="12" ht="16.5" customHeight="1">
      <c r="A12" s="10">
        <v>5.0</v>
      </c>
      <c r="B12" s="10">
        <v>100.0</v>
      </c>
      <c r="C12" s="10">
        <v>211.0</v>
      </c>
      <c r="D12" s="11">
        <f t="shared" si="1"/>
        <v>155.5</v>
      </c>
      <c r="E12" s="10">
        <f t="shared" si="2"/>
        <v>110</v>
      </c>
      <c r="F12" s="10">
        <f t="shared" si="4"/>
        <v>220</v>
      </c>
      <c r="G12" s="10">
        <f t="shared" si="3"/>
        <v>165</v>
      </c>
      <c r="H12" s="10">
        <v>0.5</v>
      </c>
    </row>
    <row r="13" ht="16.5" customHeight="1"/>
    <row r="14">
      <c r="A14" s="6" t="s">
        <v>70</v>
      </c>
      <c r="B14" s="7"/>
      <c r="C14" s="7"/>
      <c r="D14" s="7"/>
    </row>
    <row r="15">
      <c r="A15" s="5" t="s">
        <v>71</v>
      </c>
      <c r="B15" s="5" t="s">
        <v>72</v>
      </c>
      <c r="C15" s="6" t="s">
        <v>73</v>
      </c>
      <c r="D15" s="37" t="s">
        <v>96</v>
      </c>
      <c r="E15" s="1" t="s">
        <v>124</v>
      </c>
    </row>
    <row r="16">
      <c r="A16" s="17" t="s">
        <v>149</v>
      </c>
      <c r="B16" s="17" t="s">
        <v>150</v>
      </c>
      <c r="C16" s="25" t="s">
        <v>151</v>
      </c>
      <c r="D16" s="26" t="s">
        <v>152</v>
      </c>
      <c r="E16" s="1" t="s">
        <v>153</v>
      </c>
    </row>
    <row r="19">
      <c r="L19" s="13"/>
      <c r="M19" s="13"/>
    </row>
    <row r="20">
      <c r="A20" s="1" t="s">
        <v>86</v>
      </c>
    </row>
    <row r="21">
      <c r="A21" s="1" t="s">
        <v>78</v>
      </c>
      <c r="B21" s="1" t="s">
        <v>79</v>
      </c>
      <c r="C21" s="1" t="s">
        <v>80</v>
      </c>
      <c r="D21" s="1" t="s">
        <v>81</v>
      </c>
    </row>
    <row r="22">
      <c r="A22" s="34" t="s">
        <v>13</v>
      </c>
      <c r="B22" s="34" t="s">
        <v>103</v>
      </c>
      <c r="C22" s="34" t="s">
        <v>104</v>
      </c>
      <c r="D22" s="23" t="s">
        <v>108</v>
      </c>
    </row>
  </sheetData>
  <mergeCells count="3">
    <mergeCell ref="B3:G3"/>
    <mergeCell ref="L13:R13"/>
    <mergeCell ref="A14:D14"/>
  </mergeCells>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109.0</v>
      </c>
      <c r="C6" s="10">
        <v>218.0</v>
      </c>
      <c r="D6" s="11">
        <f t="shared" ref="D6:D12" si="1">AVERAGE(B6:C6)</f>
        <v>163.5</v>
      </c>
      <c r="E6" s="10">
        <f t="shared" ref="E6:E12" si="2">ROUND(F6*H6,0)</f>
        <v>99</v>
      </c>
      <c r="F6" s="10">
        <f>ROUND(F7 * 0.9,0)</f>
        <v>153</v>
      </c>
      <c r="G6" s="10">
        <f t="shared" ref="G6:G12" si="3">AVERAGE(E6:F6)</f>
        <v>126</v>
      </c>
      <c r="H6" s="10">
        <v>0.65</v>
      </c>
    </row>
    <row r="7" ht="22.5" customHeight="1">
      <c r="A7" s="10">
        <v>0.0</v>
      </c>
      <c r="B7" s="10">
        <v>145.0</v>
      </c>
      <c r="C7" s="10">
        <v>185.0</v>
      </c>
      <c r="D7" s="11">
        <f t="shared" si="1"/>
        <v>165</v>
      </c>
      <c r="E7" s="10">
        <f t="shared" si="2"/>
        <v>111</v>
      </c>
      <c r="F7" s="10">
        <v>170.0</v>
      </c>
      <c r="G7" s="10">
        <f t="shared" si="3"/>
        <v>140.5</v>
      </c>
      <c r="H7" s="10">
        <v>0.65</v>
      </c>
    </row>
    <row r="8" ht="22.5" customHeight="1">
      <c r="A8" s="10">
        <v>1.0</v>
      </c>
      <c r="B8" s="10">
        <v>160.0</v>
      </c>
      <c r="C8" s="10">
        <v>204.0</v>
      </c>
      <c r="D8" s="11">
        <f t="shared" si="1"/>
        <v>182</v>
      </c>
      <c r="E8" s="10">
        <f t="shared" si="2"/>
        <v>122</v>
      </c>
      <c r="F8" s="10">
        <f t="shared" ref="F8:F12" si="4">ROUND(F7*1.1,0)</f>
        <v>187</v>
      </c>
      <c r="G8" s="10">
        <f t="shared" si="3"/>
        <v>154.5</v>
      </c>
      <c r="H8" s="10">
        <v>0.65</v>
      </c>
    </row>
    <row r="9" ht="22.5" customHeight="1">
      <c r="A9" s="10">
        <v>2.0</v>
      </c>
      <c r="B9" s="10">
        <v>176.0</v>
      </c>
      <c r="C9" s="10">
        <v>224.0</v>
      </c>
      <c r="D9" s="11">
        <f t="shared" si="1"/>
        <v>200</v>
      </c>
      <c r="E9" s="10">
        <f t="shared" si="2"/>
        <v>134</v>
      </c>
      <c r="F9" s="10">
        <f t="shared" si="4"/>
        <v>206</v>
      </c>
      <c r="G9" s="10">
        <f t="shared" si="3"/>
        <v>170</v>
      </c>
      <c r="H9" s="10">
        <v>0.65</v>
      </c>
    </row>
    <row r="10" ht="22.5" customHeight="1">
      <c r="A10" s="10">
        <v>3.0</v>
      </c>
      <c r="B10" s="10">
        <v>194.0</v>
      </c>
      <c r="C10" s="10">
        <v>246.0</v>
      </c>
      <c r="D10" s="11">
        <f t="shared" si="1"/>
        <v>220</v>
      </c>
      <c r="E10" s="10">
        <f t="shared" si="2"/>
        <v>148</v>
      </c>
      <c r="F10" s="10">
        <f t="shared" si="4"/>
        <v>227</v>
      </c>
      <c r="G10" s="10">
        <f t="shared" si="3"/>
        <v>187.5</v>
      </c>
      <c r="H10" s="10">
        <v>0.65</v>
      </c>
    </row>
    <row r="11" ht="22.5" customHeight="1">
      <c r="A11" s="10">
        <v>4.0</v>
      </c>
      <c r="B11" s="10">
        <v>213.0</v>
      </c>
      <c r="C11" s="10">
        <v>271.0</v>
      </c>
      <c r="D11" s="11">
        <f t="shared" si="1"/>
        <v>242</v>
      </c>
      <c r="E11" s="10">
        <f t="shared" si="2"/>
        <v>163</v>
      </c>
      <c r="F11" s="10">
        <f t="shared" si="4"/>
        <v>250</v>
      </c>
      <c r="G11" s="10">
        <f t="shared" si="3"/>
        <v>206.5</v>
      </c>
      <c r="H11" s="10">
        <v>0.65</v>
      </c>
    </row>
    <row r="12" ht="22.5" customHeight="1">
      <c r="A12" s="10">
        <v>5.0</v>
      </c>
      <c r="B12" s="10">
        <v>234.0</v>
      </c>
      <c r="C12" s="10">
        <v>298.0</v>
      </c>
      <c r="D12" s="11">
        <f t="shared" si="1"/>
        <v>266</v>
      </c>
      <c r="E12" s="10">
        <f t="shared" si="2"/>
        <v>179</v>
      </c>
      <c r="F12" s="10">
        <f t="shared" si="4"/>
        <v>275</v>
      </c>
      <c r="G12" s="10">
        <f t="shared" si="3"/>
        <v>227</v>
      </c>
      <c r="H12" s="10">
        <v>0.65</v>
      </c>
    </row>
    <row r="13" ht="16.5" customHeight="1"/>
    <row r="14">
      <c r="A14" s="6" t="s">
        <v>70</v>
      </c>
      <c r="B14" s="7"/>
      <c r="C14" s="7"/>
      <c r="D14" s="7"/>
    </row>
    <row r="15">
      <c r="A15" s="5" t="s">
        <v>71</v>
      </c>
      <c r="B15" s="5" t="s">
        <v>72</v>
      </c>
      <c r="C15" s="6" t="s">
        <v>73</v>
      </c>
      <c r="D15" s="37" t="s">
        <v>96</v>
      </c>
      <c r="E15" s="1" t="s">
        <v>124</v>
      </c>
    </row>
    <row r="16" ht="135.75" customHeight="1">
      <c r="A16" s="17" t="s">
        <v>154</v>
      </c>
      <c r="B16" s="17" t="s">
        <v>155</v>
      </c>
      <c r="C16" s="25" t="s">
        <v>156</v>
      </c>
      <c r="D16" s="17" t="s">
        <v>157</v>
      </c>
      <c r="E16" s="23" t="s">
        <v>158</v>
      </c>
    </row>
    <row r="17">
      <c r="A17" s="1"/>
      <c r="I17" s="1"/>
    </row>
    <row r="20">
      <c r="A20" s="1" t="s">
        <v>86</v>
      </c>
    </row>
    <row r="21">
      <c r="A21" s="1" t="s">
        <v>78</v>
      </c>
      <c r="B21" s="1" t="s">
        <v>79</v>
      </c>
      <c r="C21" s="1" t="s">
        <v>80</v>
      </c>
      <c r="D21" s="1" t="s">
        <v>81</v>
      </c>
    </row>
    <row r="22">
      <c r="A22" s="34" t="s">
        <v>130</v>
      </c>
      <c r="B22" s="34" t="s">
        <v>103</v>
      </c>
      <c r="C22" s="34" t="s">
        <v>123</v>
      </c>
      <c r="D22" s="23" t="s">
        <v>159</v>
      </c>
    </row>
  </sheetData>
  <mergeCells count="2">
    <mergeCell ref="B3:G3"/>
    <mergeCell ref="A14:D14"/>
  </mergeCells>
  <drawing r:id="rId4"/>
  <legacyDrawing r:id="rId5"/>
  <tableParts count="1">
    <tablePart r:id="rId7"/>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5"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110.0</v>
      </c>
      <c r="D6" s="11">
        <f t="shared" ref="D6:D12" si="1">AVERAGE(B6:C6)</f>
        <v>88.5</v>
      </c>
      <c r="E6" s="10">
        <f t="shared" ref="E6:E12" si="2">ROUND(F6*H6,0)</f>
        <v>60</v>
      </c>
      <c r="F6" s="10">
        <f>ROUND(F7 * 0.9,0)</f>
        <v>119</v>
      </c>
      <c r="G6" s="10">
        <f t="shared" ref="G6:G12" si="3">AVERAGE(E6:F6)</f>
        <v>89.5</v>
      </c>
      <c r="H6" s="10">
        <v>0.5</v>
      </c>
    </row>
    <row r="7" ht="22.5" customHeight="1">
      <c r="A7" s="10">
        <v>0.0</v>
      </c>
      <c r="B7" s="10">
        <v>74.0</v>
      </c>
      <c r="C7" s="10">
        <v>117.0</v>
      </c>
      <c r="D7" s="11">
        <f t="shared" si="1"/>
        <v>95.5</v>
      </c>
      <c r="E7" s="10">
        <f t="shared" si="2"/>
        <v>66</v>
      </c>
      <c r="F7" s="10">
        <v>132.0</v>
      </c>
      <c r="G7" s="10">
        <f t="shared" si="3"/>
        <v>99</v>
      </c>
      <c r="H7" s="10">
        <v>0.5</v>
      </c>
    </row>
    <row r="8" ht="22.5" customHeight="1">
      <c r="A8" s="10">
        <v>1.0</v>
      </c>
      <c r="B8" s="10">
        <v>82.0</v>
      </c>
      <c r="C8" s="10">
        <v>130.0</v>
      </c>
      <c r="D8" s="11">
        <f t="shared" si="1"/>
        <v>106</v>
      </c>
      <c r="E8" s="10">
        <f t="shared" si="2"/>
        <v>73</v>
      </c>
      <c r="F8" s="10">
        <f t="shared" ref="F8:F12" si="4">ROUND(F7*1.1,0)</f>
        <v>145</v>
      </c>
      <c r="G8" s="10">
        <f t="shared" si="3"/>
        <v>109</v>
      </c>
      <c r="H8" s="10">
        <v>0.5</v>
      </c>
    </row>
    <row r="9" ht="22.5" customHeight="1">
      <c r="A9" s="10">
        <v>2.0</v>
      </c>
      <c r="B9" s="10">
        <v>91.0</v>
      </c>
      <c r="C9" s="10">
        <v>144.0</v>
      </c>
      <c r="D9" s="11">
        <f t="shared" si="1"/>
        <v>117.5</v>
      </c>
      <c r="E9" s="10">
        <f t="shared" si="2"/>
        <v>80</v>
      </c>
      <c r="F9" s="10">
        <f t="shared" si="4"/>
        <v>160</v>
      </c>
      <c r="G9" s="10">
        <f t="shared" si="3"/>
        <v>120</v>
      </c>
      <c r="H9" s="10">
        <v>0.5</v>
      </c>
    </row>
    <row r="10" ht="22.5" customHeight="1">
      <c r="A10" s="10">
        <v>3.0</v>
      </c>
      <c r="B10" s="10">
        <v>101.0</v>
      </c>
      <c r="C10" s="10">
        <v>160.0</v>
      </c>
      <c r="D10" s="11">
        <f t="shared" si="1"/>
        <v>130.5</v>
      </c>
      <c r="E10" s="10">
        <f t="shared" si="2"/>
        <v>88</v>
      </c>
      <c r="F10" s="10">
        <f t="shared" si="4"/>
        <v>176</v>
      </c>
      <c r="G10" s="10">
        <f t="shared" si="3"/>
        <v>132</v>
      </c>
      <c r="H10" s="10">
        <v>0.5</v>
      </c>
    </row>
    <row r="11" ht="22.5" customHeight="1">
      <c r="A11" s="10">
        <v>4.0</v>
      </c>
      <c r="B11" s="10">
        <v>112.0</v>
      </c>
      <c r="C11" s="10">
        <v>178.0</v>
      </c>
      <c r="D11" s="11">
        <f t="shared" si="1"/>
        <v>145</v>
      </c>
      <c r="E11" s="10">
        <f t="shared" si="2"/>
        <v>97</v>
      </c>
      <c r="F11" s="10">
        <f t="shared" si="4"/>
        <v>194</v>
      </c>
      <c r="G11" s="10">
        <f t="shared" si="3"/>
        <v>145.5</v>
      </c>
      <c r="H11" s="10">
        <v>0.5</v>
      </c>
    </row>
    <row r="12" ht="22.5" customHeight="1">
      <c r="A12" s="10">
        <v>5.0</v>
      </c>
      <c r="B12" s="10">
        <v>124.0</v>
      </c>
      <c r="C12" s="10">
        <v>198.0</v>
      </c>
      <c r="D12" s="11">
        <f t="shared" si="1"/>
        <v>161</v>
      </c>
      <c r="E12" s="10">
        <f t="shared" si="2"/>
        <v>107</v>
      </c>
      <c r="F12" s="10">
        <f t="shared" si="4"/>
        <v>213</v>
      </c>
      <c r="G12" s="10">
        <f t="shared" si="3"/>
        <v>160</v>
      </c>
      <c r="H12" s="10">
        <v>0.5</v>
      </c>
    </row>
    <row r="14">
      <c r="A14" s="6" t="s">
        <v>70</v>
      </c>
      <c r="B14" s="7"/>
      <c r="C14" s="7"/>
      <c r="D14" s="7"/>
    </row>
    <row r="15">
      <c r="A15" s="5" t="s">
        <v>71</v>
      </c>
      <c r="B15" s="5" t="s">
        <v>72</v>
      </c>
      <c r="C15" s="6" t="s">
        <v>73</v>
      </c>
      <c r="D15" s="12" t="s">
        <v>96</v>
      </c>
      <c r="E15" s="1" t="s">
        <v>124</v>
      </c>
    </row>
    <row r="16" ht="150.75" customHeight="1">
      <c r="A16" s="17" t="s">
        <v>87</v>
      </c>
      <c r="B16" s="17" t="s">
        <v>94</v>
      </c>
      <c r="C16" s="25" t="s">
        <v>160</v>
      </c>
      <c r="D16" s="29" t="s">
        <v>161</v>
      </c>
      <c r="E16" s="38" t="s">
        <v>162</v>
      </c>
    </row>
    <row r="17">
      <c r="A17" s="1"/>
    </row>
    <row r="20">
      <c r="A20" s="1" t="s">
        <v>86</v>
      </c>
    </row>
    <row r="21">
      <c r="A21" s="1" t="s">
        <v>78</v>
      </c>
      <c r="B21" s="1" t="s">
        <v>79</v>
      </c>
      <c r="C21" s="1" t="s">
        <v>80</v>
      </c>
      <c r="D21" s="1" t="s">
        <v>81</v>
      </c>
      <c r="L21" s="28"/>
      <c r="M21" s="28"/>
      <c r="N21" s="28"/>
      <c r="O21" s="28"/>
    </row>
    <row r="22">
      <c r="A22" s="34" t="s">
        <v>9</v>
      </c>
      <c r="B22" s="34" t="s">
        <v>104</v>
      </c>
      <c r="C22" s="34" t="s">
        <v>8</v>
      </c>
      <c r="D22" s="23" t="s">
        <v>2</v>
      </c>
    </row>
  </sheetData>
  <mergeCells count="2">
    <mergeCell ref="B3:G3"/>
    <mergeCell ref="A14:D14"/>
  </mergeCells>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2" width="2.38"/>
    <col customWidth="1" min="13" max="15" width="2.5"/>
    <col customWidth="1" min="16" max="19" width="2.63"/>
  </cols>
  <sheetData>
    <row r="1">
      <c r="B1" s="1"/>
    </row>
    <row r="2">
      <c r="B2" s="1" t="s">
        <v>61</v>
      </c>
    </row>
    <row r="3">
      <c r="A3" s="5"/>
      <c r="B3" s="6" t="s">
        <v>62</v>
      </c>
      <c r="C3" s="7"/>
      <c r="D3" s="7"/>
      <c r="E3" s="7"/>
      <c r="F3" s="7"/>
      <c r="G3" s="8"/>
      <c r="H3" s="9"/>
    </row>
    <row r="4">
      <c r="A4" s="1"/>
      <c r="B4" s="1"/>
      <c r="C4" s="1"/>
      <c r="D4" s="1"/>
      <c r="E4" s="1"/>
      <c r="F4" s="1"/>
      <c r="G4" s="1"/>
      <c r="H4" s="1"/>
      <c r="T4" s="1"/>
      <c r="U4" s="1"/>
    </row>
    <row r="5" ht="22.5" customHeight="1">
      <c r="A5" s="2" t="s">
        <v>1</v>
      </c>
      <c r="B5" s="2" t="s">
        <v>63</v>
      </c>
      <c r="C5" s="2" t="s">
        <v>64</v>
      </c>
      <c r="D5" s="2" t="s">
        <v>65</v>
      </c>
      <c r="E5" s="2" t="s">
        <v>66</v>
      </c>
      <c r="F5" s="2" t="s">
        <v>67</v>
      </c>
      <c r="G5" s="2" t="s">
        <v>68</v>
      </c>
      <c r="H5" s="2" t="s">
        <v>69</v>
      </c>
    </row>
    <row r="6" ht="22.5" customHeight="1">
      <c r="A6" s="10">
        <v>-1.0</v>
      </c>
      <c r="B6" s="10">
        <v>43.0</v>
      </c>
      <c r="C6" s="10">
        <v>63.0</v>
      </c>
      <c r="D6" s="11">
        <f t="shared" ref="D6:D12" si="1">AVERAGE(B6:C6)</f>
        <v>53</v>
      </c>
      <c r="E6" s="10">
        <f t="shared" ref="E6:E12" si="2">ROUND(F6*H6,0)</f>
        <v>74</v>
      </c>
      <c r="F6" s="10">
        <f>ROUND(F7 * 0.9,0)</f>
        <v>92</v>
      </c>
      <c r="G6" s="10">
        <f t="shared" ref="G6:G12" si="3">AVERAGE(E6:F6)</f>
        <v>83</v>
      </c>
      <c r="H6" s="10">
        <v>0.8</v>
      </c>
    </row>
    <row r="7" ht="22.5" customHeight="1">
      <c r="A7" s="10">
        <v>0.0</v>
      </c>
      <c r="B7" s="10">
        <v>46.0</v>
      </c>
      <c r="C7" s="10">
        <v>68.0</v>
      </c>
      <c r="D7" s="11">
        <f t="shared" si="1"/>
        <v>57</v>
      </c>
      <c r="E7" s="10">
        <f t="shared" si="2"/>
        <v>82</v>
      </c>
      <c r="F7" s="10">
        <v>102.0</v>
      </c>
      <c r="G7" s="10">
        <f t="shared" si="3"/>
        <v>92</v>
      </c>
      <c r="H7" s="10">
        <v>0.8</v>
      </c>
    </row>
    <row r="8" ht="22.5" customHeight="1">
      <c r="A8" s="10">
        <v>1.0</v>
      </c>
      <c r="B8" s="10">
        <v>51.0</v>
      </c>
      <c r="C8" s="10">
        <v>75.0</v>
      </c>
      <c r="D8" s="11">
        <f t="shared" si="1"/>
        <v>63</v>
      </c>
      <c r="E8" s="10">
        <f t="shared" si="2"/>
        <v>90</v>
      </c>
      <c r="F8" s="10">
        <f t="shared" ref="F8:F12" si="4">ROUND(F7*1.1,0)</f>
        <v>112</v>
      </c>
      <c r="G8" s="10">
        <f t="shared" si="3"/>
        <v>101</v>
      </c>
      <c r="H8" s="10">
        <v>0.8</v>
      </c>
    </row>
    <row r="9" ht="22.5" customHeight="1">
      <c r="A9" s="10">
        <v>2.0</v>
      </c>
      <c r="B9" s="10">
        <v>57.0</v>
      </c>
      <c r="C9" s="10">
        <v>83.0</v>
      </c>
      <c r="D9" s="11">
        <f t="shared" si="1"/>
        <v>70</v>
      </c>
      <c r="E9" s="10">
        <f t="shared" si="2"/>
        <v>98</v>
      </c>
      <c r="F9" s="10">
        <f t="shared" si="4"/>
        <v>123</v>
      </c>
      <c r="G9" s="10">
        <f t="shared" si="3"/>
        <v>110.5</v>
      </c>
      <c r="H9" s="10">
        <v>0.8</v>
      </c>
    </row>
    <row r="10" ht="22.5" customHeight="1">
      <c r="A10" s="10">
        <v>3.0</v>
      </c>
      <c r="B10" s="10">
        <v>63.0</v>
      </c>
      <c r="C10" s="10">
        <v>92.0</v>
      </c>
      <c r="D10" s="11">
        <f t="shared" si="1"/>
        <v>77.5</v>
      </c>
      <c r="E10" s="10">
        <f t="shared" si="2"/>
        <v>108</v>
      </c>
      <c r="F10" s="10">
        <f t="shared" si="4"/>
        <v>135</v>
      </c>
      <c r="G10" s="10">
        <f t="shared" si="3"/>
        <v>121.5</v>
      </c>
      <c r="H10" s="10">
        <v>0.8</v>
      </c>
    </row>
    <row r="11" ht="22.5" customHeight="1">
      <c r="A11" s="10">
        <v>4.0</v>
      </c>
      <c r="B11" s="10">
        <v>70.0</v>
      </c>
      <c r="C11" s="10">
        <v>102.0</v>
      </c>
      <c r="D11" s="11">
        <f t="shared" si="1"/>
        <v>86</v>
      </c>
      <c r="E11" s="10">
        <f t="shared" si="2"/>
        <v>119</v>
      </c>
      <c r="F11" s="10">
        <f t="shared" si="4"/>
        <v>149</v>
      </c>
      <c r="G11" s="10">
        <f t="shared" si="3"/>
        <v>134</v>
      </c>
      <c r="H11" s="10">
        <v>0.8</v>
      </c>
    </row>
    <row r="12" ht="22.5" customHeight="1">
      <c r="A12" s="10">
        <v>5.0</v>
      </c>
      <c r="B12" s="10">
        <v>78.0</v>
      </c>
      <c r="C12" s="10">
        <v>113.0</v>
      </c>
      <c r="D12" s="11">
        <f t="shared" si="1"/>
        <v>95.5</v>
      </c>
      <c r="E12" s="10">
        <f t="shared" si="2"/>
        <v>131</v>
      </c>
      <c r="F12" s="10">
        <f t="shared" si="4"/>
        <v>164</v>
      </c>
      <c r="G12" s="10">
        <f t="shared" si="3"/>
        <v>147.5</v>
      </c>
      <c r="H12" s="10">
        <v>0.8</v>
      </c>
    </row>
    <row r="14" ht="11.25" customHeight="1">
      <c r="I14" s="1"/>
    </row>
    <row r="15">
      <c r="A15" s="6" t="s">
        <v>70</v>
      </c>
      <c r="B15" s="7"/>
      <c r="C15" s="8"/>
      <c r="J15" s="1"/>
      <c r="K15" s="1"/>
      <c r="L15" s="1"/>
    </row>
    <row r="16" ht="39.0" customHeight="1">
      <c r="A16" s="5" t="s">
        <v>71</v>
      </c>
      <c r="B16" s="5" t="s">
        <v>72</v>
      </c>
      <c r="C16" s="5" t="s">
        <v>73</v>
      </c>
      <c r="D16" s="1" t="s">
        <v>116</v>
      </c>
      <c r="J16" s="1"/>
      <c r="K16" s="1"/>
      <c r="L16" s="1"/>
    </row>
    <row r="17" ht="138.0" customHeight="1">
      <c r="A17" s="17" t="s">
        <v>163</v>
      </c>
      <c r="B17" s="17" t="s">
        <v>164</v>
      </c>
      <c r="C17" s="17" t="s">
        <v>165</v>
      </c>
      <c r="D17" s="23" t="s">
        <v>166</v>
      </c>
      <c r="J17" s="23"/>
      <c r="K17" s="23"/>
      <c r="L17" s="23"/>
    </row>
    <row r="18">
      <c r="H18" s="1" t="s">
        <v>167</v>
      </c>
    </row>
    <row r="19">
      <c r="O19" s="18"/>
      <c r="P19" s="18"/>
    </row>
    <row r="20">
      <c r="A20" s="1" t="s">
        <v>86</v>
      </c>
      <c r="N20" s="39"/>
    </row>
    <row r="21">
      <c r="A21" s="1" t="s">
        <v>78</v>
      </c>
      <c r="B21" s="1" t="s">
        <v>79</v>
      </c>
      <c r="C21" s="1" t="s">
        <v>80</v>
      </c>
      <c r="D21" s="1" t="s">
        <v>81</v>
      </c>
      <c r="M21" s="39"/>
    </row>
    <row r="22">
      <c r="A22" s="34" t="s">
        <v>123</v>
      </c>
      <c r="B22" s="34" t="s">
        <v>15</v>
      </c>
      <c r="C22" s="34" t="s">
        <v>104</v>
      </c>
      <c r="D22" s="23" t="s">
        <v>103</v>
      </c>
      <c r="M22" s="39"/>
    </row>
    <row r="23">
      <c r="N23" s="39"/>
    </row>
  </sheetData>
  <mergeCells count="2">
    <mergeCell ref="B3:G3"/>
    <mergeCell ref="A15:C15"/>
  </mergeCells>
  <drawing r:id="rId4"/>
  <legacyDrawing r:id="rId5"/>
  <tableParts count="1">
    <tablePart r:id="rId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2" max="2" width="17.38"/>
    <col customWidth="1" min="3" max="3" width="17.75"/>
    <col customWidth="1" min="4" max="4" width="17.25"/>
    <col customWidth="1" min="5" max="5" width="18.13"/>
    <col customWidth="1" min="6" max="6" width="18.5"/>
    <col customWidth="1" min="7" max="7" width="25.63"/>
    <col customWidth="1" min="9" max="9" width="16.0"/>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68.0</v>
      </c>
      <c r="C6" s="10">
        <v>96.0</v>
      </c>
      <c r="D6" s="11">
        <f t="shared" ref="D6:D12" si="1">AVERAGE(B6:C6)</f>
        <v>82</v>
      </c>
      <c r="E6" s="10">
        <f t="shared" ref="E6:E12" si="2">ROUND(F6*H6,0)</f>
        <v>64</v>
      </c>
      <c r="F6" s="10">
        <f>ROUND(F7 * 0.9,0)</f>
        <v>99</v>
      </c>
      <c r="G6" s="10">
        <f t="shared" ref="G6:G12" si="3">AVERAGE(E6:F6)</f>
        <v>81.5</v>
      </c>
      <c r="H6" s="10">
        <v>0.65</v>
      </c>
    </row>
    <row r="7" ht="22.5" customHeight="1">
      <c r="A7" s="10">
        <v>0.0</v>
      </c>
      <c r="B7" s="10">
        <v>72.0</v>
      </c>
      <c r="C7" s="10">
        <v>101.0</v>
      </c>
      <c r="D7" s="11">
        <f t="shared" si="1"/>
        <v>86.5</v>
      </c>
      <c r="E7" s="10">
        <f t="shared" si="2"/>
        <v>72</v>
      </c>
      <c r="F7" s="10">
        <v>110.0</v>
      </c>
      <c r="G7" s="10">
        <f t="shared" si="3"/>
        <v>91</v>
      </c>
      <c r="H7" s="10">
        <v>0.65</v>
      </c>
    </row>
    <row r="8" ht="22.5" customHeight="1">
      <c r="A8" s="10">
        <v>1.0</v>
      </c>
      <c r="B8" s="10">
        <v>80.0</v>
      </c>
      <c r="C8" s="10">
        <v>112.0</v>
      </c>
      <c r="D8" s="11">
        <f t="shared" si="1"/>
        <v>96</v>
      </c>
      <c r="E8" s="10">
        <f t="shared" si="2"/>
        <v>79</v>
      </c>
      <c r="F8" s="10">
        <f t="shared" ref="F8:F12" si="4">ROUND(F7*1.1,0)</f>
        <v>121</v>
      </c>
      <c r="G8" s="10">
        <f t="shared" si="3"/>
        <v>100</v>
      </c>
      <c r="H8" s="10">
        <v>0.65</v>
      </c>
    </row>
    <row r="9" ht="22.5" customHeight="1">
      <c r="A9" s="10">
        <v>2.0</v>
      </c>
      <c r="B9" s="10">
        <v>89.0</v>
      </c>
      <c r="C9" s="10">
        <v>124.0</v>
      </c>
      <c r="D9" s="11">
        <f t="shared" si="1"/>
        <v>106.5</v>
      </c>
      <c r="E9" s="10">
        <f t="shared" si="2"/>
        <v>86</v>
      </c>
      <c r="F9" s="10">
        <f t="shared" si="4"/>
        <v>133</v>
      </c>
      <c r="G9" s="10">
        <f t="shared" si="3"/>
        <v>109.5</v>
      </c>
      <c r="H9" s="10">
        <v>0.65</v>
      </c>
    </row>
    <row r="10" ht="22.5" customHeight="1">
      <c r="A10" s="10">
        <v>3.0</v>
      </c>
      <c r="B10" s="10">
        <v>99.0</v>
      </c>
      <c r="C10" s="10">
        <v>138.0</v>
      </c>
      <c r="D10" s="11">
        <f t="shared" si="1"/>
        <v>118.5</v>
      </c>
      <c r="E10" s="10">
        <f t="shared" si="2"/>
        <v>95</v>
      </c>
      <c r="F10" s="10">
        <f t="shared" si="4"/>
        <v>146</v>
      </c>
      <c r="G10" s="10">
        <f t="shared" si="3"/>
        <v>120.5</v>
      </c>
      <c r="H10" s="10">
        <v>0.65</v>
      </c>
    </row>
    <row r="11" ht="22.5" customHeight="1">
      <c r="A11" s="10">
        <v>4.0</v>
      </c>
      <c r="B11" s="10">
        <v>110.0</v>
      </c>
      <c r="C11" s="10">
        <v>153.0</v>
      </c>
      <c r="D11" s="11">
        <f t="shared" si="1"/>
        <v>131.5</v>
      </c>
      <c r="E11" s="10">
        <f t="shared" si="2"/>
        <v>105</v>
      </c>
      <c r="F11" s="10">
        <f t="shared" si="4"/>
        <v>161</v>
      </c>
      <c r="G11" s="10">
        <f t="shared" si="3"/>
        <v>133</v>
      </c>
      <c r="H11" s="10">
        <v>0.65</v>
      </c>
    </row>
    <row r="12" ht="22.5" customHeight="1">
      <c r="A12" s="10">
        <v>5.0</v>
      </c>
      <c r="B12" s="10">
        <v>122.0</v>
      </c>
      <c r="C12" s="10">
        <v>170.0</v>
      </c>
      <c r="D12" s="11">
        <f t="shared" si="1"/>
        <v>146</v>
      </c>
      <c r="E12" s="10">
        <f t="shared" si="2"/>
        <v>115</v>
      </c>
      <c r="F12" s="10">
        <f t="shared" si="4"/>
        <v>177</v>
      </c>
      <c r="G12" s="10">
        <f t="shared" si="3"/>
        <v>146</v>
      </c>
      <c r="H12" s="10">
        <v>0.65</v>
      </c>
    </row>
    <row r="14">
      <c r="K14" s="12"/>
      <c r="L14" s="1"/>
    </row>
    <row r="15">
      <c r="K15" s="15"/>
    </row>
    <row r="16" ht="39.0" customHeight="1">
      <c r="K16" s="15"/>
    </row>
    <row r="17">
      <c r="A17" s="6" t="s">
        <v>70</v>
      </c>
      <c r="B17" s="7"/>
      <c r="C17" s="8"/>
    </row>
    <row r="18">
      <c r="A18" s="5" t="s">
        <v>71</v>
      </c>
      <c r="B18" s="5" t="s">
        <v>72</v>
      </c>
      <c r="C18" s="5" t="s">
        <v>73</v>
      </c>
    </row>
    <row r="19">
      <c r="A19" s="17" t="s">
        <v>168</v>
      </c>
      <c r="B19" s="17" t="s">
        <v>169</v>
      </c>
      <c r="C19" s="17" t="s">
        <v>170</v>
      </c>
    </row>
    <row r="20">
      <c r="A20" s="1" t="s">
        <v>86</v>
      </c>
    </row>
    <row r="21">
      <c r="A21" s="1" t="s">
        <v>171</v>
      </c>
      <c r="B21" s="1" t="s">
        <v>172</v>
      </c>
      <c r="C21" s="1" t="s">
        <v>173</v>
      </c>
      <c r="D21" s="1" t="s">
        <v>174</v>
      </c>
    </row>
    <row r="22">
      <c r="A22" s="34" t="s">
        <v>147</v>
      </c>
      <c r="B22" s="34" t="s">
        <v>108</v>
      </c>
      <c r="C22" s="34" t="s">
        <v>35</v>
      </c>
      <c r="D22" s="23" t="s">
        <v>16</v>
      </c>
    </row>
  </sheetData>
  <mergeCells count="2">
    <mergeCell ref="B3:G3"/>
    <mergeCell ref="A17:C1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6" width="2.75"/>
    <col customWidth="1" min="17" max="17"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57.0</v>
      </c>
      <c r="C6" s="10">
        <v>75.0</v>
      </c>
      <c r="D6" s="11">
        <f t="shared" ref="D6:D12" si="1">AVERAGE(B6:C6)</f>
        <v>66</v>
      </c>
      <c r="E6" s="10">
        <f t="shared" ref="E6:E12" si="2">ROUND(F6*H6,0)</f>
        <v>62</v>
      </c>
      <c r="F6" s="10">
        <f>ROUND(F7 * 0.9,0)</f>
        <v>77</v>
      </c>
      <c r="G6" s="10">
        <f t="shared" ref="G6:G12" si="3">AVERAGE(E6:F6)</f>
        <v>69.5</v>
      </c>
      <c r="H6" s="10">
        <v>0.8</v>
      </c>
    </row>
    <row r="7" ht="22.5" customHeight="1">
      <c r="A7" s="10">
        <v>0.0</v>
      </c>
      <c r="B7" s="10">
        <v>60.0</v>
      </c>
      <c r="C7" s="10">
        <v>80.0</v>
      </c>
      <c r="D7" s="11">
        <f t="shared" si="1"/>
        <v>70</v>
      </c>
      <c r="E7" s="10">
        <f t="shared" si="2"/>
        <v>68</v>
      </c>
      <c r="F7" s="10">
        <v>85.0</v>
      </c>
      <c r="G7" s="10">
        <f t="shared" si="3"/>
        <v>76.5</v>
      </c>
      <c r="H7" s="10">
        <v>0.8</v>
      </c>
    </row>
    <row r="8" ht="22.5" customHeight="1">
      <c r="A8" s="10">
        <v>1.0</v>
      </c>
      <c r="B8" s="10">
        <v>67.0</v>
      </c>
      <c r="C8" s="10">
        <v>90.0</v>
      </c>
      <c r="D8" s="11">
        <f t="shared" si="1"/>
        <v>78.5</v>
      </c>
      <c r="E8" s="10">
        <f t="shared" si="2"/>
        <v>75</v>
      </c>
      <c r="F8" s="10">
        <f t="shared" ref="F8:F12" si="4">ROUND(F7*1.1,0)</f>
        <v>94</v>
      </c>
      <c r="G8" s="10">
        <f t="shared" si="3"/>
        <v>84.5</v>
      </c>
      <c r="H8" s="10">
        <v>0.8</v>
      </c>
    </row>
    <row r="9" ht="22.5" customHeight="1">
      <c r="A9" s="10">
        <v>2.0</v>
      </c>
      <c r="B9" s="10">
        <v>75.0</v>
      </c>
      <c r="C9" s="10">
        <v>101.0</v>
      </c>
      <c r="D9" s="11">
        <f t="shared" si="1"/>
        <v>88</v>
      </c>
      <c r="E9" s="10">
        <f t="shared" si="2"/>
        <v>82</v>
      </c>
      <c r="F9" s="10">
        <f t="shared" si="4"/>
        <v>103</v>
      </c>
      <c r="G9" s="10">
        <f t="shared" si="3"/>
        <v>92.5</v>
      </c>
      <c r="H9" s="10">
        <v>0.8</v>
      </c>
    </row>
    <row r="10" ht="22.5" customHeight="1">
      <c r="A10" s="10">
        <v>3.0</v>
      </c>
      <c r="B10" s="10">
        <v>84.0</v>
      </c>
      <c r="C10" s="10">
        <v>113.0</v>
      </c>
      <c r="D10" s="11">
        <f t="shared" si="1"/>
        <v>98.5</v>
      </c>
      <c r="E10" s="10">
        <f t="shared" si="2"/>
        <v>90</v>
      </c>
      <c r="F10" s="10">
        <f t="shared" si="4"/>
        <v>113</v>
      </c>
      <c r="G10" s="10">
        <f t="shared" si="3"/>
        <v>101.5</v>
      </c>
      <c r="H10" s="10">
        <v>0.8</v>
      </c>
    </row>
    <row r="11" ht="22.5" customHeight="1">
      <c r="A11" s="10">
        <v>4.0</v>
      </c>
      <c r="B11" s="10">
        <v>94.0</v>
      </c>
      <c r="C11" s="10">
        <v>127.0</v>
      </c>
      <c r="D11" s="11">
        <f t="shared" si="1"/>
        <v>110.5</v>
      </c>
      <c r="E11" s="10">
        <f t="shared" si="2"/>
        <v>99</v>
      </c>
      <c r="F11" s="10">
        <f t="shared" si="4"/>
        <v>124</v>
      </c>
      <c r="G11" s="10">
        <f t="shared" si="3"/>
        <v>111.5</v>
      </c>
      <c r="H11" s="10">
        <v>0.8</v>
      </c>
    </row>
    <row r="12" ht="22.5" customHeight="1">
      <c r="A12" s="10">
        <v>5.0</v>
      </c>
      <c r="B12" s="10">
        <v>105.0</v>
      </c>
      <c r="C12" s="10">
        <v>142.0</v>
      </c>
      <c r="D12" s="11">
        <f t="shared" si="1"/>
        <v>123.5</v>
      </c>
      <c r="E12" s="10">
        <f t="shared" si="2"/>
        <v>109</v>
      </c>
      <c r="F12" s="10">
        <f t="shared" si="4"/>
        <v>136</v>
      </c>
      <c r="G12" s="10">
        <f t="shared" si="3"/>
        <v>122.5</v>
      </c>
      <c r="H12" s="10">
        <v>0.8</v>
      </c>
    </row>
    <row r="14">
      <c r="I14" s="12"/>
      <c r="J14" s="1"/>
    </row>
    <row r="15">
      <c r="I15" s="1"/>
    </row>
    <row r="16" ht="51.75" customHeight="1">
      <c r="A16" s="6" t="s">
        <v>70</v>
      </c>
      <c r="B16" s="7"/>
      <c r="C16" s="8"/>
    </row>
    <row r="17">
      <c r="A17" s="5" t="s">
        <v>71</v>
      </c>
      <c r="B17" s="5" t="s">
        <v>72</v>
      </c>
      <c r="C17" s="5" t="s">
        <v>73</v>
      </c>
      <c r="I17" s="1"/>
    </row>
    <row r="18">
      <c r="A18" s="17" t="s">
        <v>175</v>
      </c>
      <c r="B18" s="17" t="s">
        <v>176</v>
      </c>
      <c r="C18" s="17" t="s">
        <v>177</v>
      </c>
      <c r="I18" s="1"/>
    </row>
    <row r="19">
      <c r="K19" s="13"/>
    </row>
    <row r="20">
      <c r="A20" s="1" t="s">
        <v>178</v>
      </c>
      <c r="K20" s="13"/>
    </row>
    <row r="21">
      <c r="A21" s="1" t="s">
        <v>171</v>
      </c>
      <c r="B21" s="1" t="s">
        <v>172</v>
      </c>
      <c r="C21" s="1" t="s">
        <v>173</v>
      </c>
      <c r="D21" s="1" t="s">
        <v>174</v>
      </c>
      <c r="J21" s="1" t="s">
        <v>179</v>
      </c>
    </row>
    <row r="22">
      <c r="A22" s="34" t="s">
        <v>114</v>
      </c>
      <c r="B22" s="34" t="s">
        <v>104</v>
      </c>
      <c r="C22" s="34" t="s">
        <v>105</v>
      </c>
      <c r="D22" s="23" t="s">
        <v>34</v>
      </c>
    </row>
    <row r="24">
      <c r="K24" s="19"/>
      <c r="L24" s="19"/>
      <c r="M24" s="19"/>
    </row>
    <row r="25">
      <c r="K25" s="13"/>
      <c r="L25" s="19"/>
    </row>
    <row r="26">
      <c r="K26" s="13"/>
      <c r="L26" s="32"/>
    </row>
  </sheetData>
  <mergeCells count="5">
    <mergeCell ref="B3:G3"/>
    <mergeCell ref="A16:C16"/>
    <mergeCell ref="I17:M17"/>
    <mergeCell ref="I18:Q18"/>
    <mergeCell ref="J21:M21"/>
  </mergeCells>
  <drawing r:id="rId4"/>
  <legacyDrawing r:id="rId5"/>
  <tableParts count="1">
    <tablePart r:id="rId7"/>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3.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105.0</v>
      </c>
      <c r="D6" s="11">
        <f t="shared" ref="D6:D12" si="2">AVERAGE(B6:C6)</f>
        <v>86</v>
      </c>
      <c r="E6" s="10">
        <f t="shared" ref="E6:F6" si="1">ROUND(E7 * 0.9,0)</f>
        <v>67</v>
      </c>
      <c r="F6" s="10">
        <f t="shared" si="1"/>
        <v>132</v>
      </c>
      <c r="G6" s="10">
        <f t="shared" ref="G6:G12" si="3">AVERAGE(E6:F6)</f>
        <v>99.5</v>
      </c>
      <c r="H6" s="10">
        <v>0.5</v>
      </c>
    </row>
    <row r="7" ht="22.5" customHeight="1">
      <c r="A7" s="10">
        <v>0.0</v>
      </c>
      <c r="B7" s="10">
        <v>70.0</v>
      </c>
      <c r="C7" s="10">
        <v>111.0</v>
      </c>
      <c r="D7" s="11">
        <f t="shared" si="2"/>
        <v>90.5</v>
      </c>
      <c r="E7" s="10">
        <f t="shared" ref="E7:E12" si="4">ROUND(F7*H7,0)</f>
        <v>74</v>
      </c>
      <c r="F7" s="10">
        <v>147.0</v>
      </c>
      <c r="G7" s="10">
        <f t="shared" si="3"/>
        <v>110.5</v>
      </c>
      <c r="H7" s="10">
        <v>0.5</v>
      </c>
    </row>
    <row r="8" ht="22.5" customHeight="1">
      <c r="A8" s="10">
        <v>1.0</v>
      </c>
      <c r="B8" s="10">
        <v>76.0</v>
      </c>
      <c r="C8" s="10">
        <v>124.0</v>
      </c>
      <c r="D8" s="11">
        <f t="shared" si="2"/>
        <v>100</v>
      </c>
      <c r="E8" s="10">
        <f t="shared" si="4"/>
        <v>81</v>
      </c>
      <c r="F8" s="10">
        <f t="shared" ref="F8:F12" si="5">ROUND(F7*1.1,0)</f>
        <v>162</v>
      </c>
      <c r="G8" s="10">
        <f t="shared" si="3"/>
        <v>121.5</v>
      </c>
      <c r="H8" s="10">
        <v>0.5</v>
      </c>
    </row>
    <row r="9" ht="22.5" customHeight="1">
      <c r="A9" s="10">
        <v>2.0</v>
      </c>
      <c r="B9" s="10">
        <v>77.0</v>
      </c>
      <c r="C9" s="10">
        <v>139.0</v>
      </c>
      <c r="D9" s="11">
        <f t="shared" si="2"/>
        <v>108</v>
      </c>
      <c r="E9" s="10">
        <f t="shared" si="4"/>
        <v>89</v>
      </c>
      <c r="F9" s="10">
        <f t="shared" si="5"/>
        <v>178</v>
      </c>
      <c r="G9" s="10">
        <f t="shared" si="3"/>
        <v>133.5</v>
      </c>
      <c r="H9" s="10">
        <v>0.5</v>
      </c>
    </row>
    <row r="10" ht="22.5" customHeight="1">
      <c r="A10" s="10">
        <v>3.0</v>
      </c>
      <c r="B10" s="10">
        <v>89.0</v>
      </c>
      <c r="C10" s="10">
        <v>156.0</v>
      </c>
      <c r="D10" s="11">
        <f t="shared" si="2"/>
        <v>122.5</v>
      </c>
      <c r="E10" s="10">
        <f t="shared" si="4"/>
        <v>98</v>
      </c>
      <c r="F10" s="10">
        <f t="shared" si="5"/>
        <v>196</v>
      </c>
      <c r="G10" s="10">
        <f t="shared" si="3"/>
        <v>147</v>
      </c>
      <c r="H10" s="10">
        <v>0.5</v>
      </c>
    </row>
    <row r="11" ht="22.5" customHeight="1">
      <c r="A11" s="10">
        <v>4.0</v>
      </c>
      <c r="B11" s="10">
        <v>96.0</v>
      </c>
      <c r="C11" s="10">
        <v>175.0</v>
      </c>
      <c r="D11" s="11">
        <f t="shared" si="2"/>
        <v>135.5</v>
      </c>
      <c r="E11" s="10">
        <f t="shared" si="4"/>
        <v>108</v>
      </c>
      <c r="F11" s="10">
        <f t="shared" si="5"/>
        <v>216</v>
      </c>
      <c r="G11" s="10">
        <f t="shared" si="3"/>
        <v>162</v>
      </c>
      <c r="H11" s="10">
        <v>0.5</v>
      </c>
    </row>
    <row r="12" ht="22.5" customHeight="1">
      <c r="A12" s="10">
        <v>5.0</v>
      </c>
      <c r="B12" s="10">
        <v>104.0</v>
      </c>
      <c r="C12" s="10">
        <v>196.0</v>
      </c>
      <c r="D12" s="11">
        <f t="shared" si="2"/>
        <v>150</v>
      </c>
      <c r="E12" s="10">
        <f t="shared" si="4"/>
        <v>119</v>
      </c>
      <c r="F12" s="10">
        <f t="shared" si="5"/>
        <v>238</v>
      </c>
      <c r="G12" s="10">
        <f t="shared" si="3"/>
        <v>178.5</v>
      </c>
      <c r="H12" s="10">
        <v>0.5</v>
      </c>
    </row>
    <row r="14">
      <c r="A14" s="6" t="s">
        <v>70</v>
      </c>
      <c r="B14" s="7"/>
      <c r="C14" s="7"/>
      <c r="D14" s="7"/>
    </row>
    <row r="15">
      <c r="A15" s="5" t="s">
        <v>71</v>
      </c>
      <c r="B15" s="5" t="s">
        <v>72</v>
      </c>
      <c r="C15" s="6" t="s">
        <v>73</v>
      </c>
      <c r="D15" s="5" t="s">
        <v>96</v>
      </c>
    </row>
    <row r="16" ht="59.25" customHeight="1">
      <c r="A16" s="17" t="s">
        <v>87</v>
      </c>
      <c r="B16" s="17" t="s">
        <v>180</v>
      </c>
      <c r="C16" s="25" t="s">
        <v>181</v>
      </c>
      <c r="D16" s="17" t="s">
        <v>182</v>
      </c>
    </row>
    <row r="20">
      <c r="A20" s="1" t="s">
        <v>178</v>
      </c>
    </row>
    <row r="21">
      <c r="A21" s="1" t="s">
        <v>171</v>
      </c>
      <c r="B21" s="1" t="s">
        <v>172</v>
      </c>
      <c r="C21" s="1" t="s">
        <v>173</v>
      </c>
      <c r="D21" s="1" t="s">
        <v>174</v>
      </c>
    </row>
    <row r="22">
      <c r="A22" s="23" t="s">
        <v>183</v>
      </c>
      <c r="B22" s="23" t="s">
        <v>7</v>
      </c>
      <c r="C22" s="23" t="s">
        <v>108</v>
      </c>
      <c r="D22" s="23" t="s">
        <v>32</v>
      </c>
    </row>
  </sheetData>
  <mergeCells count="2">
    <mergeCell ref="B3:G3"/>
    <mergeCell ref="A14:D14"/>
  </mergeCells>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75"/>
    <col customWidth="1" min="12" max="12" width="2.5"/>
    <col customWidth="1" min="13" max="13" width="2.63"/>
    <col customWidth="1" min="14" max="18"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88.0</v>
      </c>
      <c r="D6" s="11">
        <f t="shared" ref="D6:D12" si="1">AVERAGE(B6:C6)</f>
        <v>77.5</v>
      </c>
      <c r="E6" s="10">
        <f t="shared" ref="E6:E12" si="2">ROUND(F6*H6,0)</f>
        <v>67</v>
      </c>
      <c r="F6" s="10">
        <f>ROUND(F7 * 0.9,0)</f>
        <v>84</v>
      </c>
      <c r="G6" s="10">
        <f t="shared" ref="G6:G12" si="3">AVERAGE(E6:F6)</f>
        <v>75.5</v>
      </c>
      <c r="H6" s="10">
        <v>0.8</v>
      </c>
    </row>
    <row r="7" ht="22.5" customHeight="1">
      <c r="A7" s="10">
        <v>0.0</v>
      </c>
      <c r="B7" s="10">
        <v>71.0</v>
      </c>
      <c r="C7" s="10">
        <v>93.0</v>
      </c>
      <c r="D7" s="11">
        <f t="shared" si="1"/>
        <v>82</v>
      </c>
      <c r="E7" s="10">
        <f t="shared" si="2"/>
        <v>74</v>
      </c>
      <c r="F7" s="10">
        <v>93.0</v>
      </c>
      <c r="G7" s="10">
        <f t="shared" si="3"/>
        <v>83.5</v>
      </c>
      <c r="H7" s="10">
        <v>0.8</v>
      </c>
    </row>
    <row r="8" ht="22.5" customHeight="1">
      <c r="A8" s="10">
        <v>1.0</v>
      </c>
      <c r="B8" s="10">
        <v>78.0</v>
      </c>
      <c r="C8" s="10">
        <v>102.0</v>
      </c>
      <c r="D8" s="11">
        <f t="shared" si="1"/>
        <v>90</v>
      </c>
      <c r="E8" s="10">
        <f t="shared" si="2"/>
        <v>82</v>
      </c>
      <c r="F8" s="10">
        <f t="shared" ref="F8:F12" si="4">ROUND(F7*1.1,0)</f>
        <v>102</v>
      </c>
      <c r="G8" s="10">
        <f t="shared" si="3"/>
        <v>92</v>
      </c>
      <c r="H8" s="10">
        <v>0.8</v>
      </c>
    </row>
    <row r="9" ht="22.5" customHeight="1">
      <c r="A9" s="10">
        <v>2.0</v>
      </c>
      <c r="B9" s="10">
        <v>86.0</v>
      </c>
      <c r="C9" s="10">
        <v>112.0</v>
      </c>
      <c r="D9" s="11">
        <f t="shared" si="1"/>
        <v>99</v>
      </c>
      <c r="E9" s="10">
        <f t="shared" si="2"/>
        <v>90</v>
      </c>
      <c r="F9" s="10">
        <f t="shared" si="4"/>
        <v>112</v>
      </c>
      <c r="G9" s="10">
        <f t="shared" si="3"/>
        <v>101</v>
      </c>
      <c r="H9" s="10">
        <v>0.8</v>
      </c>
    </row>
    <row r="10" ht="22.5" customHeight="1">
      <c r="A10" s="10">
        <v>3.0</v>
      </c>
      <c r="B10" s="10">
        <v>95.0</v>
      </c>
      <c r="C10" s="10">
        <v>123.0</v>
      </c>
      <c r="D10" s="11">
        <f t="shared" si="1"/>
        <v>109</v>
      </c>
      <c r="E10" s="10">
        <f t="shared" si="2"/>
        <v>98</v>
      </c>
      <c r="F10" s="10">
        <f t="shared" si="4"/>
        <v>123</v>
      </c>
      <c r="G10" s="10">
        <f t="shared" si="3"/>
        <v>110.5</v>
      </c>
      <c r="H10" s="10">
        <v>0.8</v>
      </c>
    </row>
    <row r="11" ht="22.5" customHeight="1">
      <c r="A11" s="10">
        <v>4.0</v>
      </c>
      <c r="B11" s="10">
        <v>105.0</v>
      </c>
      <c r="C11" s="10">
        <v>135.0</v>
      </c>
      <c r="D11" s="11">
        <f t="shared" si="1"/>
        <v>120</v>
      </c>
      <c r="E11" s="10">
        <f t="shared" si="2"/>
        <v>108</v>
      </c>
      <c r="F11" s="10">
        <f t="shared" si="4"/>
        <v>135</v>
      </c>
      <c r="G11" s="10">
        <f t="shared" si="3"/>
        <v>121.5</v>
      </c>
      <c r="H11" s="10">
        <v>0.8</v>
      </c>
    </row>
    <row r="12" ht="22.5" customHeight="1">
      <c r="A12" s="10">
        <v>5.0</v>
      </c>
      <c r="B12" s="10">
        <v>116.0</v>
      </c>
      <c r="C12" s="10">
        <v>149.0</v>
      </c>
      <c r="D12" s="11">
        <f t="shared" si="1"/>
        <v>132.5</v>
      </c>
      <c r="E12" s="10">
        <f t="shared" si="2"/>
        <v>119</v>
      </c>
      <c r="F12" s="10">
        <f t="shared" si="4"/>
        <v>149</v>
      </c>
      <c r="G12" s="10">
        <f t="shared" si="3"/>
        <v>134</v>
      </c>
      <c r="H12" s="10">
        <v>0.8</v>
      </c>
    </row>
    <row r="14" ht="39.0" customHeight="1">
      <c r="A14" s="6" t="s">
        <v>70</v>
      </c>
      <c r="B14" s="7"/>
      <c r="C14" s="7"/>
    </row>
    <row r="15" ht="29.25" customHeight="1">
      <c r="A15" s="5" t="s">
        <v>71</v>
      </c>
      <c r="B15" s="5" t="s">
        <v>72</v>
      </c>
      <c r="C15" s="6" t="s">
        <v>73</v>
      </c>
      <c r="D15" s="38" t="s">
        <v>184</v>
      </c>
    </row>
    <row r="16">
      <c r="A16" s="17" t="s">
        <v>185</v>
      </c>
      <c r="B16" s="17" t="s">
        <v>87</v>
      </c>
      <c r="C16" s="25" t="s">
        <v>87</v>
      </c>
      <c r="D16" s="38" t="s">
        <v>186</v>
      </c>
    </row>
    <row r="17">
      <c r="A17" s="1"/>
    </row>
    <row r="20">
      <c r="A20" s="1" t="s">
        <v>178</v>
      </c>
    </row>
    <row r="21">
      <c r="A21" s="1" t="s">
        <v>171</v>
      </c>
      <c r="B21" s="1" t="s">
        <v>172</v>
      </c>
      <c r="C21" s="1" t="s">
        <v>173</v>
      </c>
      <c r="D21" s="1" t="s">
        <v>174</v>
      </c>
    </row>
    <row r="22">
      <c r="A22" s="23" t="s">
        <v>103</v>
      </c>
      <c r="B22" s="23" t="s">
        <v>130</v>
      </c>
      <c r="C22" s="23" t="s">
        <v>133</v>
      </c>
      <c r="D22" s="23" t="s">
        <v>187</v>
      </c>
      <c r="K22" s="28"/>
      <c r="L22" s="36"/>
      <c r="M22" s="36"/>
      <c r="N22" s="36"/>
      <c r="O22" s="28"/>
    </row>
    <row r="23">
      <c r="K23" s="28"/>
      <c r="L23" s="28"/>
      <c r="M23" s="28"/>
      <c r="N23" s="28"/>
      <c r="O23" s="28"/>
    </row>
  </sheetData>
  <mergeCells count="2">
    <mergeCell ref="B3:G3"/>
    <mergeCell ref="A14:C14"/>
  </mergeCells>
  <drawing r:id="rId1"/>
  <tableParts count="1">
    <tablePart r:id="rId3"/>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ht="14.25" customHeight="1">
      <c r="A1" s="20"/>
      <c r="B1" s="20"/>
      <c r="C1" s="20"/>
      <c r="D1" s="20"/>
      <c r="E1" s="20"/>
      <c r="F1" s="20"/>
      <c r="G1" s="20"/>
      <c r="H1" s="20"/>
    </row>
    <row r="2" ht="14.25" customHeight="1">
      <c r="A2" s="20"/>
      <c r="B2" s="20" t="s">
        <v>61</v>
      </c>
      <c r="C2" s="20"/>
      <c r="D2" s="20"/>
      <c r="E2" s="20"/>
      <c r="F2" s="20"/>
      <c r="G2" s="20"/>
      <c r="H2" s="20"/>
    </row>
    <row r="3" ht="14.25" customHeight="1">
      <c r="A3" s="40"/>
      <c r="B3" s="41" t="s">
        <v>62</v>
      </c>
      <c r="C3" s="7"/>
      <c r="D3" s="7"/>
      <c r="E3" s="7"/>
      <c r="F3" s="7"/>
      <c r="G3" s="8"/>
      <c r="H3" s="42"/>
    </row>
    <row r="4" ht="14.25" customHeight="1">
      <c r="A4" s="43"/>
      <c r="B4" s="43"/>
      <c r="C4" s="43"/>
      <c r="D4" s="43"/>
      <c r="E4" s="43"/>
      <c r="F4" s="43"/>
      <c r="G4" s="44"/>
      <c r="H4" s="44"/>
    </row>
    <row r="5" ht="14.25" customHeight="1">
      <c r="A5" s="45" t="s">
        <v>1</v>
      </c>
      <c r="B5" s="45" t="s">
        <v>63</v>
      </c>
      <c r="C5" s="45" t="s">
        <v>64</v>
      </c>
      <c r="D5" s="45" t="s">
        <v>65</v>
      </c>
      <c r="E5" s="45" t="s">
        <v>66</v>
      </c>
      <c r="F5" s="45" t="s">
        <v>67</v>
      </c>
      <c r="G5" s="46" t="s">
        <v>68</v>
      </c>
      <c r="H5" s="46" t="s">
        <v>69</v>
      </c>
    </row>
    <row r="6" ht="14.25" customHeight="1">
      <c r="A6" s="47">
        <v>-1.0</v>
      </c>
      <c r="B6" s="48">
        <v>85.0</v>
      </c>
      <c r="C6" s="48">
        <v>109.0</v>
      </c>
      <c r="D6" s="49">
        <f t="shared" ref="D6:D12" si="1">AVERAGE(B6:C6)</f>
        <v>97</v>
      </c>
      <c r="E6" s="49">
        <f t="shared" ref="E6:E12" si="2">ROUND(F6*H6,0)</f>
        <v>89</v>
      </c>
      <c r="F6" s="49">
        <f>ROUND(F7 * 0.9,0)</f>
        <v>137</v>
      </c>
      <c r="G6" s="49">
        <f t="shared" ref="G6:G12" si="3">AVERAGE(E6:F6)</f>
        <v>113</v>
      </c>
      <c r="H6" s="48">
        <v>0.65</v>
      </c>
    </row>
    <row r="7" ht="14.25" customHeight="1">
      <c r="A7" s="49">
        <v>0.0</v>
      </c>
      <c r="B7" s="48">
        <v>90.0</v>
      </c>
      <c r="C7" s="48">
        <v>116.0</v>
      </c>
      <c r="D7" s="49">
        <f t="shared" si="1"/>
        <v>103</v>
      </c>
      <c r="E7" s="49">
        <f t="shared" si="2"/>
        <v>99</v>
      </c>
      <c r="F7" s="48">
        <v>152.0</v>
      </c>
      <c r="G7" s="49">
        <f t="shared" si="3"/>
        <v>125.5</v>
      </c>
      <c r="H7" s="48">
        <v>0.65</v>
      </c>
    </row>
    <row r="8" ht="14.25" customHeight="1">
      <c r="A8" s="49">
        <v>1.0</v>
      </c>
      <c r="B8" s="50">
        <v>99.0</v>
      </c>
      <c r="C8" s="50">
        <v>128.0</v>
      </c>
      <c r="D8" s="49">
        <f t="shared" si="1"/>
        <v>113.5</v>
      </c>
      <c r="E8" s="49">
        <f t="shared" si="2"/>
        <v>109</v>
      </c>
      <c r="F8" s="49">
        <f t="shared" ref="F8:F12" si="4">ROUND(F7*1.1,0)</f>
        <v>167</v>
      </c>
      <c r="G8" s="49">
        <f t="shared" si="3"/>
        <v>138</v>
      </c>
      <c r="H8" s="48">
        <v>0.65</v>
      </c>
      <c r="K8" s="1"/>
    </row>
    <row r="9" ht="14.25" customHeight="1">
      <c r="A9" s="49">
        <v>2.0</v>
      </c>
      <c r="B9" s="50">
        <v>109.0</v>
      </c>
      <c r="C9" s="50">
        <v>141.0</v>
      </c>
      <c r="D9" s="49">
        <f t="shared" si="1"/>
        <v>125</v>
      </c>
      <c r="E9" s="49">
        <f t="shared" si="2"/>
        <v>120</v>
      </c>
      <c r="F9" s="49">
        <f t="shared" si="4"/>
        <v>184</v>
      </c>
      <c r="G9" s="49">
        <f t="shared" si="3"/>
        <v>152</v>
      </c>
      <c r="H9" s="48">
        <v>0.65</v>
      </c>
    </row>
    <row r="10" ht="14.25" customHeight="1">
      <c r="A10" s="49">
        <v>3.0</v>
      </c>
      <c r="B10" s="50">
        <v>120.0</v>
      </c>
      <c r="C10" s="50">
        <v>155.0</v>
      </c>
      <c r="D10" s="49">
        <f t="shared" si="1"/>
        <v>137.5</v>
      </c>
      <c r="E10" s="49">
        <f t="shared" si="2"/>
        <v>131</v>
      </c>
      <c r="F10" s="49">
        <f t="shared" si="4"/>
        <v>202</v>
      </c>
      <c r="G10" s="49">
        <f t="shared" si="3"/>
        <v>166.5</v>
      </c>
      <c r="H10" s="48">
        <v>0.65</v>
      </c>
    </row>
    <row r="11" ht="14.25" customHeight="1">
      <c r="A11" s="49">
        <v>4.0</v>
      </c>
      <c r="B11" s="50">
        <v>132.0</v>
      </c>
      <c r="C11" s="50">
        <v>171.0</v>
      </c>
      <c r="D11" s="49">
        <f t="shared" si="1"/>
        <v>151.5</v>
      </c>
      <c r="E11" s="49">
        <f t="shared" si="2"/>
        <v>144</v>
      </c>
      <c r="F11" s="49">
        <f t="shared" si="4"/>
        <v>222</v>
      </c>
      <c r="G11" s="49">
        <f t="shared" si="3"/>
        <v>183</v>
      </c>
      <c r="H11" s="48">
        <v>0.65</v>
      </c>
    </row>
    <row r="12" ht="14.25" customHeight="1">
      <c r="A12" s="49">
        <v>5.0</v>
      </c>
      <c r="B12" s="50">
        <v>145.0</v>
      </c>
      <c r="C12" s="50">
        <v>188.0</v>
      </c>
      <c r="D12" s="49">
        <f t="shared" si="1"/>
        <v>166.5</v>
      </c>
      <c r="E12" s="49">
        <f t="shared" si="2"/>
        <v>159</v>
      </c>
      <c r="F12" s="49">
        <f t="shared" si="4"/>
        <v>244</v>
      </c>
      <c r="G12" s="49">
        <f t="shared" si="3"/>
        <v>201.5</v>
      </c>
      <c r="H12" s="48">
        <v>0.65</v>
      </c>
    </row>
    <row r="13">
      <c r="A13" s="1"/>
    </row>
    <row r="14">
      <c r="A14" s="6" t="s">
        <v>70</v>
      </c>
      <c r="B14" s="7"/>
      <c r="C14" s="7"/>
    </row>
    <row r="15">
      <c r="A15" s="5" t="s">
        <v>71</v>
      </c>
      <c r="B15" s="5" t="s">
        <v>72</v>
      </c>
      <c r="C15" s="6" t="s">
        <v>73</v>
      </c>
      <c r="D15" s="6" t="s">
        <v>96</v>
      </c>
    </row>
    <row r="16">
      <c r="A16" s="17" t="s">
        <v>87</v>
      </c>
      <c r="B16" s="17" t="s">
        <v>87</v>
      </c>
      <c r="C16" s="17" t="s">
        <v>94</v>
      </c>
      <c r="D16" s="17" t="s">
        <v>188</v>
      </c>
    </row>
    <row r="20">
      <c r="A20" s="1" t="s">
        <v>86</v>
      </c>
    </row>
    <row r="21">
      <c r="A21" s="1" t="s">
        <v>171</v>
      </c>
      <c r="B21" s="1" t="s">
        <v>172</v>
      </c>
      <c r="C21" s="1" t="s">
        <v>173</v>
      </c>
      <c r="D21" s="1" t="s">
        <v>174</v>
      </c>
    </row>
    <row r="22">
      <c r="A22" s="23" t="s">
        <v>183</v>
      </c>
      <c r="B22" s="23" t="s">
        <v>103</v>
      </c>
      <c r="C22" s="23" t="s">
        <v>104</v>
      </c>
      <c r="D22" s="23" t="s">
        <v>189</v>
      </c>
    </row>
  </sheetData>
  <mergeCells count="2">
    <mergeCell ref="B3:G3"/>
    <mergeCell ref="A14:C14"/>
  </mergeCells>
  <drawing r:id="rId1"/>
  <tableParts count="1">
    <tablePart r:id="rId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c r="A1" s="20"/>
      <c r="B1" s="20"/>
      <c r="C1" s="20"/>
      <c r="D1" s="20"/>
      <c r="E1" s="20"/>
      <c r="F1" s="20"/>
      <c r="G1" s="20"/>
      <c r="H1" s="20"/>
    </row>
    <row r="2">
      <c r="A2" s="20"/>
      <c r="B2" s="20" t="s">
        <v>61</v>
      </c>
      <c r="C2" s="20"/>
      <c r="D2" s="20"/>
      <c r="E2" s="20"/>
      <c r="F2" s="20"/>
      <c r="G2" s="20"/>
      <c r="H2" s="20"/>
    </row>
    <row r="3" ht="15.75" customHeight="1">
      <c r="A3" s="40"/>
      <c r="B3" s="41" t="s">
        <v>62</v>
      </c>
      <c r="C3" s="7"/>
      <c r="D3" s="7"/>
      <c r="E3" s="7"/>
      <c r="F3" s="7"/>
      <c r="G3" s="8"/>
      <c r="H3" s="42"/>
    </row>
    <row r="4" ht="15.75" customHeight="1">
      <c r="A4" s="43"/>
      <c r="B4" s="43"/>
      <c r="C4" s="43"/>
      <c r="D4" s="43"/>
      <c r="E4" s="43"/>
      <c r="F4" s="43"/>
      <c r="G4" s="44"/>
      <c r="H4" s="44"/>
    </row>
    <row r="5" ht="15.75" customHeight="1">
      <c r="A5" s="45" t="s">
        <v>1</v>
      </c>
      <c r="B5" s="45" t="s">
        <v>63</v>
      </c>
      <c r="C5" s="45" t="s">
        <v>64</v>
      </c>
      <c r="D5" s="45" t="s">
        <v>65</v>
      </c>
      <c r="E5" s="45" t="s">
        <v>66</v>
      </c>
      <c r="F5" s="45" t="s">
        <v>67</v>
      </c>
      <c r="G5" s="46" t="s">
        <v>68</v>
      </c>
      <c r="H5" s="46" t="s">
        <v>69</v>
      </c>
    </row>
    <row r="6" ht="15.75" customHeight="1">
      <c r="A6" s="47">
        <v>-1.0</v>
      </c>
      <c r="B6" s="48">
        <v>61.0</v>
      </c>
      <c r="C6" s="48">
        <v>77.0</v>
      </c>
      <c r="D6" s="49">
        <f t="shared" ref="D6:D12" si="1">AVERAGE(B6:C6)</f>
        <v>69</v>
      </c>
      <c r="E6" s="49">
        <f t="shared" ref="E6:E12" si="2">ROUND(F6*H6,0)</f>
        <v>64</v>
      </c>
      <c r="F6" s="49">
        <f>ROUND(F7 * 0.9,0)</f>
        <v>80</v>
      </c>
      <c r="G6" s="49">
        <f t="shared" ref="G6:G12" si="3">AVERAGE(E6:F6)</f>
        <v>72</v>
      </c>
      <c r="H6" s="48">
        <v>0.8</v>
      </c>
    </row>
    <row r="7" ht="15.75" customHeight="1">
      <c r="A7" s="49">
        <v>0.0</v>
      </c>
      <c r="B7" s="48">
        <v>65.0</v>
      </c>
      <c r="C7" s="48">
        <v>83.0</v>
      </c>
      <c r="D7" s="49">
        <f t="shared" si="1"/>
        <v>74</v>
      </c>
      <c r="E7" s="49">
        <f t="shared" si="2"/>
        <v>71</v>
      </c>
      <c r="F7" s="48">
        <v>89.0</v>
      </c>
      <c r="G7" s="49">
        <f t="shared" si="3"/>
        <v>80</v>
      </c>
      <c r="H7" s="48">
        <v>0.8</v>
      </c>
    </row>
    <row r="8" ht="15.75" customHeight="1">
      <c r="A8" s="49">
        <v>1.0</v>
      </c>
      <c r="B8" s="50">
        <v>72.0</v>
      </c>
      <c r="C8" s="50">
        <v>91.0</v>
      </c>
      <c r="D8" s="49">
        <f t="shared" si="1"/>
        <v>81.5</v>
      </c>
      <c r="E8" s="49">
        <f t="shared" si="2"/>
        <v>78</v>
      </c>
      <c r="F8" s="49">
        <f t="shared" ref="F8:F12" si="4">ROUND(F7*1.1,0)</f>
        <v>98</v>
      </c>
      <c r="G8" s="49">
        <f t="shared" si="3"/>
        <v>88</v>
      </c>
      <c r="H8" s="48">
        <v>0.8</v>
      </c>
      <c r="K8" s="1"/>
    </row>
    <row r="9" ht="15.75" customHeight="1">
      <c r="A9" s="49">
        <v>2.0</v>
      </c>
      <c r="B9" s="50">
        <v>79.0</v>
      </c>
      <c r="C9" s="50">
        <v>100.0</v>
      </c>
      <c r="D9" s="49">
        <f t="shared" si="1"/>
        <v>89.5</v>
      </c>
      <c r="E9" s="49">
        <f t="shared" si="2"/>
        <v>86</v>
      </c>
      <c r="F9" s="49">
        <f t="shared" si="4"/>
        <v>108</v>
      </c>
      <c r="G9" s="49">
        <f t="shared" si="3"/>
        <v>97</v>
      </c>
      <c r="H9" s="48">
        <v>0.8</v>
      </c>
    </row>
    <row r="10" ht="15.75" customHeight="1">
      <c r="A10" s="49">
        <v>3.0</v>
      </c>
      <c r="B10" s="50">
        <v>87.0</v>
      </c>
      <c r="C10" s="50">
        <v>110.0</v>
      </c>
      <c r="D10" s="49">
        <f t="shared" si="1"/>
        <v>98.5</v>
      </c>
      <c r="E10" s="49">
        <f t="shared" si="2"/>
        <v>95</v>
      </c>
      <c r="F10" s="49">
        <f t="shared" si="4"/>
        <v>119</v>
      </c>
      <c r="G10" s="49">
        <f t="shared" si="3"/>
        <v>107</v>
      </c>
      <c r="H10" s="48">
        <v>0.8</v>
      </c>
    </row>
    <row r="11" ht="15.75" customHeight="1">
      <c r="A11" s="49">
        <v>4.0</v>
      </c>
      <c r="B11" s="50">
        <v>96.0</v>
      </c>
      <c r="C11" s="50">
        <v>121.0</v>
      </c>
      <c r="D11" s="49">
        <f t="shared" si="1"/>
        <v>108.5</v>
      </c>
      <c r="E11" s="49">
        <f t="shared" si="2"/>
        <v>105</v>
      </c>
      <c r="F11" s="49">
        <f t="shared" si="4"/>
        <v>131</v>
      </c>
      <c r="G11" s="49">
        <f t="shared" si="3"/>
        <v>118</v>
      </c>
      <c r="H11" s="48">
        <v>0.8</v>
      </c>
    </row>
    <row r="12" ht="15.75" customHeight="1">
      <c r="A12" s="51">
        <v>5.0</v>
      </c>
      <c r="B12" s="52">
        <v>106.0</v>
      </c>
      <c r="C12" s="52">
        <v>133.0</v>
      </c>
      <c r="D12" s="49">
        <f t="shared" si="1"/>
        <v>119.5</v>
      </c>
      <c r="E12" s="49">
        <f t="shared" si="2"/>
        <v>115</v>
      </c>
      <c r="F12" s="49">
        <f t="shared" si="4"/>
        <v>144</v>
      </c>
      <c r="G12" s="49">
        <f t="shared" si="3"/>
        <v>129.5</v>
      </c>
      <c r="H12" s="48">
        <v>0.8</v>
      </c>
    </row>
    <row r="13">
      <c r="A13" s="53"/>
      <c r="B13" s="54"/>
      <c r="C13" s="54"/>
      <c r="D13" s="20"/>
      <c r="E13" s="55"/>
      <c r="F13" s="55"/>
      <c r="G13" s="55"/>
      <c r="H13" s="56"/>
    </row>
    <row r="14">
      <c r="A14" s="57" t="s">
        <v>70</v>
      </c>
      <c r="B14" s="58"/>
      <c r="C14" s="58"/>
    </row>
    <row r="15">
      <c r="A15" s="5" t="s">
        <v>71</v>
      </c>
      <c r="B15" s="5" t="s">
        <v>190</v>
      </c>
      <c r="C15" s="6" t="s">
        <v>191</v>
      </c>
      <c r="D15" s="6" t="s">
        <v>96</v>
      </c>
    </row>
    <row r="16">
      <c r="A16" s="17" t="s">
        <v>84</v>
      </c>
      <c r="B16" s="17" t="s">
        <v>87</v>
      </c>
      <c r="C16" s="17" t="s">
        <v>192</v>
      </c>
      <c r="D16" s="17" t="s">
        <v>193</v>
      </c>
    </row>
    <row r="20">
      <c r="A20" s="1" t="s">
        <v>86</v>
      </c>
    </row>
    <row r="21">
      <c r="A21" s="1" t="s">
        <v>171</v>
      </c>
      <c r="B21" s="1" t="s">
        <v>172</v>
      </c>
      <c r="C21" s="1" t="s">
        <v>173</v>
      </c>
      <c r="D21" s="1" t="s">
        <v>174</v>
      </c>
    </row>
    <row r="22">
      <c r="A22" s="23" t="s">
        <v>194</v>
      </c>
      <c r="B22" s="23" t="s">
        <v>5</v>
      </c>
      <c r="C22" s="23" t="s">
        <v>17</v>
      </c>
      <c r="D22" s="23" t="s">
        <v>195</v>
      </c>
    </row>
  </sheetData>
  <mergeCells count="2">
    <mergeCell ref="B3:G3"/>
    <mergeCell ref="A14:C14"/>
  </mergeCells>
  <drawing r:id="rId4"/>
  <legacyDrawing r:id="rId5"/>
  <tableParts count="1">
    <tablePart r:id="rId7"/>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84.0</v>
      </c>
      <c r="C6" s="10">
        <v>101.0</v>
      </c>
      <c r="D6" s="11">
        <f t="shared" ref="D6:D12" si="1">AVERAGE(B6:C6)</f>
        <v>92.5</v>
      </c>
      <c r="E6" s="10">
        <f t="shared" ref="E6:E12" si="2">ROUND(F6*H6,0)</f>
        <v>79</v>
      </c>
      <c r="F6" s="10">
        <f>ROUND(F7 * 0.9,0)</f>
        <v>99</v>
      </c>
      <c r="G6" s="10">
        <f t="shared" ref="G6:G12" si="3">AVERAGE(E6:F6)</f>
        <v>89</v>
      </c>
      <c r="H6" s="10">
        <v>0.8</v>
      </c>
    </row>
    <row r="7" ht="22.5" customHeight="1">
      <c r="A7" s="10">
        <v>0.0</v>
      </c>
      <c r="B7" s="10">
        <v>91.0</v>
      </c>
      <c r="C7" s="10">
        <v>108.0</v>
      </c>
      <c r="D7" s="11">
        <f t="shared" si="1"/>
        <v>99.5</v>
      </c>
      <c r="E7" s="10">
        <f t="shared" si="2"/>
        <v>88</v>
      </c>
      <c r="F7" s="10">
        <v>110.0</v>
      </c>
      <c r="G7" s="10">
        <f t="shared" si="3"/>
        <v>99</v>
      </c>
      <c r="H7" s="10">
        <v>0.8</v>
      </c>
    </row>
    <row r="8" ht="15.75" customHeight="1">
      <c r="A8" s="10">
        <v>1.0</v>
      </c>
      <c r="B8" s="10">
        <v>101.0</v>
      </c>
      <c r="C8" s="10">
        <v>120.0</v>
      </c>
      <c r="D8" s="11">
        <f t="shared" si="1"/>
        <v>110.5</v>
      </c>
      <c r="E8" s="10">
        <f t="shared" si="2"/>
        <v>97</v>
      </c>
      <c r="F8" s="10">
        <f t="shared" ref="F8:F12" si="4">FLOOR(F7*1.1,1)</f>
        <v>121</v>
      </c>
      <c r="G8" s="10">
        <f t="shared" si="3"/>
        <v>109</v>
      </c>
      <c r="H8" s="10">
        <v>0.8</v>
      </c>
      <c r="K8" s="1"/>
    </row>
    <row r="9" ht="22.5" customHeight="1">
      <c r="A9" s="10">
        <v>2.0</v>
      </c>
      <c r="B9" s="10">
        <v>122.0</v>
      </c>
      <c r="C9" s="10">
        <v>133.0</v>
      </c>
      <c r="D9" s="11">
        <f t="shared" si="1"/>
        <v>127.5</v>
      </c>
      <c r="E9" s="10">
        <f t="shared" si="2"/>
        <v>106</v>
      </c>
      <c r="F9" s="10">
        <f t="shared" si="4"/>
        <v>133</v>
      </c>
      <c r="G9" s="10">
        <f t="shared" si="3"/>
        <v>119.5</v>
      </c>
      <c r="H9" s="10">
        <v>0.8</v>
      </c>
    </row>
    <row r="10" ht="16.5" customHeight="1">
      <c r="A10" s="10">
        <v>3.0</v>
      </c>
      <c r="B10" s="10">
        <v>124.0</v>
      </c>
      <c r="C10" s="10">
        <v>148.0</v>
      </c>
      <c r="D10" s="11">
        <f t="shared" si="1"/>
        <v>136</v>
      </c>
      <c r="E10" s="10">
        <f t="shared" si="2"/>
        <v>117</v>
      </c>
      <c r="F10" s="10">
        <f t="shared" si="4"/>
        <v>146</v>
      </c>
      <c r="G10" s="10">
        <f t="shared" si="3"/>
        <v>131.5</v>
      </c>
      <c r="H10" s="10">
        <v>0.8</v>
      </c>
    </row>
    <row r="11" ht="16.5" customHeight="1">
      <c r="A11" s="10">
        <v>4.0</v>
      </c>
      <c r="B11" s="10">
        <v>138.0</v>
      </c>
      <c r="C11" s="10">
        <v>164.0</v>
      </c>
      <c r="D11" s="11">
        <f t="shared" si="1"/>
        <v>151</v>
      </c>
      <c r="E11" s="10">
        <f t="shared" si="2"/>
        <v>128</v>
      </c>
      <c r="F11" s="10">
        <f t="shared" si="4"/>
        <v>160</v>
      </c>
      <c r="G11" s="10">
        <f t="shared" si="3"/>
        <v>144</v>
      </c>
      <c r="H11" s="10">
        <v>0.8</v>
      </c>
    </row>
    <row r="12" ht="22.5" customHeight="1">
      <c r="A12" s="10">
        <v>5.0</v>
      </c>
      <c r="B12" s="10">
        <v>153.0</v>
      </c>
      <c r="C12" s="10">
        <v>182.0</v>
      </c>
      <c r="D12" s="11">
        <f t="shared" si="1"/>
        <v>167.5</v>
      </c>
      <c r="E12" s="10">
        <f t="shared" si="2"/>
        <v>141</v>
      </c>
      <c r="F12" s="10">
        <f t="shared" si="4"/>
        <v>176</v>
      </c>
      <c r="G12" s="10">
        <f t="shared" si="3"/>
        <v>158.5</v>
      </c>
      <c r="H12" s="10">
        <v>0.8</v>
      </c>
    </row>
    <row r="13">
      <c r="A13" s="6"/>
      <c r="B13" s="6"/>
      <c r="C13" s="6"/>
    </row>
    <row r="14">
      <c r="A14" s="6" t="s">
        <v>70</v>
      </c>
      <c r="B14" s="7"/>
      <c r="C14" s="8"/>
    </row>
    <row r="15">
      <c r="A15" s="5" t="s">
        <v>71</v>
      </c>
      <c r="B15" s="5" t="s">
        <v>72</v>
      </c>
      <c r="C15" s="5" t="s">
        <v>73</v>
      </c>
    </row>
    <row r="16">
      <c r="A16" s="17" t="s">
        <v>196</v>
      </c>
      <c r="B16" s="17" t="s">
        <v>94</v>
      </c>
      <c r="C16" s="17" t="s">
        <v>197</v>
      </c>
    </row>
    <row r="20">
      <c r="A20" s="1" t="s">
        <v>86</v>
      </c>
    </row>
    <row r="21">
      <c r="A21" s="1" t="s">
        <v>171</v>
      </c>
      <c r="B21" s="1" t="s">
        <v>172</v>
      </c>
      <c r="C21" s="1" t="s">
        <v>173</v>
      </c>
      <c r="D21" s="1" t="s">
        <v>174</v>
      </c>
    </row>
    <row r="22">
      <c r="A22" s="34" t="s">
        <v>103</v>
      </c>
      <c r="B22" s="34" t="s">
        <v>107</v>
      </c>
      <c r="C22" s="34" t="s">
        <v>33</v>
      </c>
      <c r="D22" s="23" t="s">
        <v>32</v>
      </c>
    </row>
  </sheetData>
  <mergeCells count="2">
    <mergeCell ref="B3:G3"/>
    <mergeCell ref="A14:C14"/>
  </mergeCells>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c r="A1" s="20"/>
      <c r="B1" s="20"/>
      <c r="C1" s="20"/>
      <c r="D1" s="20"/>
      <c r="E1" s="20"/>
      <c r="F1" s="20"/>
      <c r="G1" s="20"/>
      <c r="H1" s="20"/>
    </row>
    <row r="2">
      <c r="A2" s="20"/>
      <c r="B2" s="20" t="s">
        <v>61</v>
      </c>
      <c r="C2" s="20"/>
      <c r="D2" s="20"/>
      <c r="E2" s="20"/>
      <c r="F2" s="20"/>
      <c r="G2" s="20"/>
      <c r="H2" s="20"/>
    </row>
    <row r="3" ht="15.75" customHeight="1">
      <c r="A3" s="40"/>
      <c r="B3" s="41" t="s">
        <v>62</v>
      </c>
      <c r="C3" s="7"/>
      <c r="D3" s="7"/>
      <c r="E3" s="7"/>
      <c r="F3" s="7"/>
      <c r="G3" s="8"/>
      <c r="H3" s="42"/>
    </row>
    <row r="4" ht="15.75" customHeight="1">
      <c r="A4" s="43"/>
      <c r="B4" s="43"/>
      <c r="C4" s="43"/>
      <c r="D4" s="43"/>
      <c r="E4" s="43"/>
      <c r="F4" s="43"/>
      <c r="G4" s="44"/>
      <c r="H4" s="44"/>
    </row>
    <row r="5" ht="15.75" customHeight="1">
      <c r="A5" s="45" t="s">
        <v>1</v>
      </c>
      <c r="B5" s="45" t="s">
        <v>63</v>
      </c>
      <c r="C5" s="45" t="s">
        <v>64</v>
      </c>
      <c r="D5" s="45" t="s">
        <v>65</v>
      </c>
      <c r="E5" s="45" t="s">
        <v>66</v>
      </c>
      <c r="F5" s="45" t="s">
        <v>67</v>
      </c>
      <c r="G5" s="46" t="s">
        <v>68</v>
      </c>
      <c r="H5" s="46" t="s">
        <v>69</v>
      </c>
    </row>
    <row r="6" ht="15.75" customHeight="1">
      <c r="A6" s="47">
        <v>-1.0</v>
      </c>
      <c r="B6" s="48">
        <v>84.0</v>
      </c>
      <c r="C6" s="48">
        <v>117.0</v>
      </c>
      <c r="D6" s="49">
        <f t="shared" ref="D6:D12" si="1">AVERAGE(B6:C6)</f>
        <v>100.5</v>
      </c>
      <c r="E6" s="47">
        <f t="shared" ref="E6:E12" si="2">ROUND(F6*H6,0)</f>
        <v>68</v>
      </c>
      <c r="F6" s="49">
        <f>ROUND(F7 * 0.9,0)</f>
        <v>135</v>
      </c>
      <c r="G6" s="49">
        <f t="shared" ref="G6:G12" si="3">AVERAGE(E6:F6)</f>
        <v>101.5</v>
      </c>
      <c r="H6" s="48">
        <v>0.5</v>
      </c>
    </row>
    <row r="7" ht="15.75" customHeight="1">
      <c r="A7" s="49">
        <v>0.0</v>
      </c>
      <c r="B7" s="48">
        <v>89.0</v>
      </c>
      <c r="C7" s="48">
        <v>124.0</v>
      </c>
      <c r="D7" s="49">
        <f t="shared" si="1"/>
        <v>106.5</v>
      </c>
      <c r="E7" s="47">
        <f t="shared" si="2"/>
        <v>75</v>
      </c>
      <c r="F7" s="48">
        <v>150.0</v>
      </c>
      <c r="G7" s="49">
        <f t="shared" si="3"/>
        <v>112.5</v>
      </c>
      <c r="H7" s="48">
        <v>0.5</v>
      </c>
    </row>
    <row r="8" ht="15.75" customHeight="1">
      <c r="A8" s="49">
        <v>1.0</v>
      </c>
      <c r="B8" s="50">
        <v>93.0</v>
      </c>
      <c r="C8" s="50">
        <v>130.0</v>
      </c>
      <c r="D8" s="49">
        <f t="shared" si="1"/>
        <v>111.5</v>
      </c>
      <c r="E8" s="47">
        <f t="shared" si="2"/>
        <v>83</v>
      </c>
      <c r="F8" s="49">
        <f t="shared" ref="F8:F12" si="4">ROUND(F7*1.1,0)</f>
        <v>165</v>
      </c>
      <c r="G8" s="49">
        <f t="shared" si="3"/>
        <v>124</v>
      </c>
      <c r="H8" s="48">
        <v>0.5</v>
      </c>
      <c r="K8" s="1"/>
    </row>
    <row r="9" ht="15.75" customHeight="1">
      <c r="A9" s="49">
        <v>2.0</v>
      </c>
      <c r="B9" s="50">
        <v>103.0</v>
      </c>
      <c r="C9" s="50">
        <v>144.0</v>
      </c>
      <c r="D9" s="49">
        <f t="shared" si="1"/>
        <v>123.5</v>
      </c>
      <c r="E9" s="47">
        <f t="shared" si="2"/>
        <v>91</v>
      </c>
      <c r="F9" s="49">
        <f t="shared" si="4"/>
        <v>182</v>
      </c>
      <c r="G9" s="49">
        <f t="shared" si="3"/>
        <v>136.5</v>
      </c>
      <c r="H9" s="48">
        <v>0.5</v>
      </c>
    </row>
    <row r="10" ht="15.75" customHeight="1">
      <c r="A10" s="49">
        <v>3.0</v>
      </c>
      <c r="B10" s="50">
        <v>114.0</v>
      </c>
      <c r="C10" s="50">
        <v>160.0</v>
      </c>
      <c r="D10" s="49">
        <f t="shared" si="1"/>
        <v>137</v>
      </c>
      <c r="E10" s="47">
        <f t="shared" si="2"/>
        <v>100</v>
      </c>
      <c r="F10" s="49">
        <f t="shared" si="4"/>
        <v>200</v>
      </c>
      <c r="G10" s="49">
        <f t="shared" si="3"/>
        <v>150</v>
      </c>
      <c r="H10" s="48">
        <v>0.5</v>
      </c>
    </row>
    <row r="11" ht="15.75" customHeight="1">
      <c r="A11" s="49">
        <v>4.0</v>
      </c>
      <c r="B11" s="50">
        <v>127.0</v>
      </c>
      <c r="C11" s="50">
        <v>178.0</v>
      </c>
      <c r="D11" s="49">
        <f t="shared" si="1"/>
        <v>152.5</v>
      </c>
      <c r="E11" s="47">
        <f t="shared" si="2"/>
        <v>110</v>
      </c>
      <c r="F11" s="49">
        <f t="shared" si="4"/>
        <v>220</v>
      </c>
      <c r="G11" s="49">
        <f t="shared" si="3"/>
        <v>165</v>
      </c>
      <c r="H11" s="48">
        <v>0.5</v>
      </c>
    </row>
    <row r="12" ht="15.75" customHeight="1">
      <c r="A12" s="51">
        <v>5.0</v>
      </c>
      <c r="B12" s="52">
        <v>141.0</v>
      </c>
      <c r="C12" s="52">
        <v>198.0</v>
      </c>
      <c r="D12" s="49">
        <f t="shared" si="1"/>
        <v>169.5</v>
      </c>
      <c r="E12" s="47">
        <f t="shared" si="2"/>
        <v>121</v>
      </c>
      <c r="F12" s="49">
        <f t="shared" si="4"/>
        <v>242</v>
      </c>
      <c r="G12" s="49">
        <f t="shared" si="3"/>
        <v>181.5</v>
      </c>
      <c r="H12" s="48">
        <v>0.5</v>
      </c>
    </row>
    <row r="13">
      <c r="A13" s="53"/>
      <c r="B13" s="54"/>
      <c r="C13" s="54"/>
      <c r="D13" s="20"/>
      <c r="E13" s="55"/>
      <c r="F13" s="55"/>
      <c r="G13" s="55"/>
      <c r="H13" s="56"/>
    </row>
    <row r="14">
      <c r="A14" s="57" t="s">
        <v>70</v>
      </c>
      <c r="B14" s="58"/>
      <c r="C14" s="58"/>
    </row>
    <row r="15">
      <c r="A15" s="5" t="s">
        <v>71</v>
      </c>
      <c r="B15" s="5" t="s">
        <v>198</v>
      </c>
      <c r="C15" s="6" t="s">
        <v>199</v>
      </c>
      <c r="D15" s="6" t="s">
        <v>96</v>
      </c>
      <c r="E15" s="5" t="s">
        <v>124</v>
      </c>
    </row>
    <row r="16" ht="109.5" customHeight="1">
      <c r="A16" s="17" t="s">
        <v>200</v>
      </c>
      <c r="B16" s="17" t="s">
        <v>87</v>
      </c>
      <c r="C16" s="17" t="s">
        <v>201</v>
      </c>
      <c r="D16" s="17" t="s">
        <v>202</v>
      </c>
      <c r="E16" s="17" t="s">
        <v>203</v>
      </c>
    </row>
    <row r="17">
      <c r="D17" s="1"/>
    </row>
    <row r="20">
      <c r="A20" s="1" t="s">
        <v>86</v>
      </c>
    </row>
    <row r="21">
      <c r="A21" s="1" t="s">
        <v>171</v>
      </c>
      <c r="B21" s="1" t="s">
        <v>172</v>
      </c>
      <c r="C21" s="1" t="s">
        <v>173</v>
      </c>
      <c r="D21" s="1" t="s">
        <v>174</v>
      </c>
    </row>
    <row r="22">
      <c r="A22" s="34" t="s">
        <v>103</v>
      </c>
      <c r="B22" s="34" t="s">
        <v>8</v>
      </c>
      <c r="C22" s="34" t="s">
        <v>7</v>
      </c>
      <c r="D22" s="23" t="s">
        <v>35</v>
      </c>
    </row>
  </sheetData>
  <mergeCells count="2">
    <mergeCell ref="B3:G3"/>
    <mergeCell ref="A14:C14"/>
  </mergeCells>
  <drawing r:id="rId1"/>
  <tableParts count="1">
    <tablePart r:id="rId3"/>
  </tableParts>
</worksheet>
</file>