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tc={dcde69ee-c51f-4d27-8686-cb6f20182142}</author>
  </authors>
  <commentList>
    <comment authorId="0" xr:uid="{dcde69ee-c51f-4d27-8686-cb6f20182142}"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tc={993f0bca-624e-4323-ae2d-5b2815ecde67}</author>
  </authors>
  <commentList>
    <comment authorId="0" xr:uid="{993f0bca-624e-4323-ae2d-5b2815ecde67}"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tc={0c398bbc-a904-44d6-afd9-ec7456d44bea}</author>
  </authors>
  <commentList>
    <comment authorId="0" xr:uid="{0c398bbc-a904-44d6-afd9-ec7456d44bea}"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tc={1b0fb5a2-14fe-4617-8eb1-ebdf2bbd3fc9}</author>
  </authors>
  <commentList>
    <comment authorId="0" xr:uid="{1b0fb5a2-14fe-4617-8eb1-ebdf2bbd3fc9}"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tc={6cd8d1fc-ab04-4699-8a32-3b12caeb49c8}</author>
    <author>tc={a9aa1c4f-2cf6-4b79-9e24-e6c1b3667f5a}</author>
  </authors>
  <commentList>
    <comment authorId="0" xr:uid="{6cd8d1fc-ab04-4699-8a32-3b12caeb49c8}"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 authorId="1" xr:uid="{a9aa1c4f-2cf6-4b79-9e24-e6c1b3667f5a}"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tc={1a7d7a79-e6af-462c-a3d1-178e238fd30b}</author>
    <author>tc={f135fb52-8f8f-40da-93e8-5e87821a1df6}</author>
  </authors>
  <commentList>
    <comment authorId="0" xr:uid="{1a7d7a79-e6af-462c-a3d1-178e238fd30b}"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 authorId="1" xr:uid="{f135fb52-8f8f-40da-93e8-5e87821a1df6}"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tc={9080194d-4d5d-4eb3-8c5e-b9944b45642c}</author>
  </authors>
  <commentList>
    <comment authorId="0" xr:uid="{9080194d-4d5d-4eb3-8c5e-b9944b45642c}"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tc={bd731112-704f-4fa8-b1b6-164a74813f6f}</author>
  </authors>
  <commentList>
    <comment authorId="0" xr:uid="{bd731112-704f-4fa8-b1b6-164a74813f6f}"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tc={ace3c6e5-b042-44cb-a65d-bf3187786b87}</author>
  </authors>
  <commentList>
    <comment authorId="0" xr:uid="{ace3c6e5-b042-44cb-a65d-bf3187786b87}"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tc={055db4fd-4715-4786-b0d5-70d3f7eae0e0}</author>
    <author>tc={20564157-8daa-4eb5-a5f9-1743147c7ef1}</author>
    <author>tc={961c9a8e-74a8-42b9-b953-3bea059c77b1}</author>
    <author>tc={fc61192e-a6dc-4246-8ca4-51115e3ceac2}</author>
  </authors>
  <commentList>
    <comment authorId="0" xr:uid="{055db4fd-4715-4786-b0d5-70d3f7eae0e0}"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1" xr:uid="{20564157-8daa-4eb5-a5f9-1743147c7ef1}"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2" xr:uid="{961c9a8e-74a8-42b9-b953-3bea059c77b1}"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 authorId="3" xr:uid="{fc61192e-a6dc-4246-8ca4-51115e3ceac2}"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tc={c897168b-7dd7-4816-b9ef-885dadec7445}</author>
  </authors>
  <commentList>
    <comment authorId="0" xr:uid="{c897168b-7dd7-4816-b9ef-885dadec7445}"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tc={348471e8-613d-4435-8bbb-57ef9a61e205}</author>
  </authors>
  <commentList>
    <comment authorId="0" xr:uid="{348471e8-613d-4435-8bbb-57ef9a61e205}"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tc={a0e345e7-e993-44fb-89fc-35584ed7d01a}</author>
  </authors>
  <commentList>
    <comment authorId="0" xr:uid="{a0e345e7-e993-44fb-89fc-35584ed7d01a}"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<sst xmlns="http://schemas.openxmlformats.org/spreadsheetml/2006/main" count="811" uniqueCount="194">
  <si>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</si>
  <si>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</si>
  <si>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</si>
  <si>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</si>
  <si>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</si>
  <si>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</si>
  <si>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</si>
  <si>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</si>
  <si>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</si>
  <si>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</si>
  <si>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</si>
  <si>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</si>
  <si>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</si>
  <si>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</si>
  <si>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</si>
  <si>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</si>
  <si>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</si>
  <si>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</si>
  <si>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</si>
  <si>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</si>
  <si>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</si>
  <si>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</si>
  <si>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</si>
  <si>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</si>
  <si>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</si>
  <si>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</si>
  <si>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</si>
  <si>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</si>
  <si>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</si>
  <si>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</si>
  <si>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</si>
  <si>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</si>
  <si>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</si>
  <si>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</si>
  <si>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</si>
  <si>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</si>
  <si>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</si>
  <si>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</si>
  <si>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</si>
  <si>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</si>
  <si>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</si>
  <si>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</si>
  <si>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</si>
  <si>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</si>
  <si>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</si>
  <si>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</si>
  <si>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</si>
  <si>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</si>
  <si>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</si>
  <si>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</si>
  <si>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</si>
  <si>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</si>
  <si>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</si>
  <si>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</si>
  <si>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</si>
  <si>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</si>
  <si>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</si>
  <si>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</si>
  <si>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</si>
  <si>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</si>
  <si>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</si>
  <si>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</si>
  <si>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</si>
  <si>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</si>
  <si>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</si>
  <si>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</si>
  <si>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</si>
  <si>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</si>
  <si>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</si>
  <si>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</si>
  <si>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</si>
  <si>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</si>
  <si>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</si>
  <si>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</si>
  <si>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</si>
  <si>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 xml:space="preserve"> +1 range, dmg mod to 1.7x</t>
  </si>
  <si>
    <t>-1 mana cost, +1 range, dmg mod to 1.7x</t>
  </si>
  <si>
    <t>Variants:</t>
  </si>
  <si>
    <t>Steel</t>
  </si>
  <si>
    <t>silver</t>
  </si>
  <si>
    <t>mythril</t>
  </si>
  <si>
    <t>adamantium</t>
  </si>
  <si>
    <t>Move points;Dodge</t>
  </si>
  <si>
    <t>now aplies -12% resistance debuff for 1 turn</t>
  </si>
  <si>
    <t>No changes</t>
  </si>
  <si>
    <t>Increase stun chance to 100 on the main tile</t>
  </si>
  <si>
    <t>Variants</t>
  </si>
  <si>
    <t>Now has a 3x3 aoe, centered around the bottom-center tile</t>
  </si>
  <si>
    <t>dmg mod to 1.6x from 1.4x</t>
  </si>
  <si>
    <t>New skill 2 aoe</t>
  </si>
  <si>
    <t>Base stat penalties/bonuses</t>
  </si>
  <si>
    <t>Refreshes +2 move points</t>
  </si>
  <si>
    <t>dmg mod to 1.6x</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</si>
  <si>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</si>
  <si>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</si>
  <si>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</si>
  <si>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</si>
  <si>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</si>
  <si>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</si>
  <si>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</si>
  <si>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</si>
  <si>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</si>
  <si>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</si>
  <si>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</si>
  <si>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</si>
  <si>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</si>
  <si>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reliability</t>
  </si>
  <si>
    <t>critical</t>
  </si>
  <si>
    <t>new skill 1 aoe</t>
  </si>
  <si>
    <t>Added a 4th primary tile</t>
  </si>
  <si>
    <t>dmg mod to 1.15x</t>
  </si>
  <si>
    <t>dmg mod decreased to 1.05x from 1.1x</t>
  </si>
  <si>
    <t>dmg mod decreased to 1.1x from 1.2x</t>
  </si>
  <si>
    <t>physical damage</t>
  </si>
  <si>
    <t>momentum</t>
  </si>
  <si>
    <t>New Skill 3 aoe:</t>
  </si>
  <si>
    <t>Perk:</t>
  </si>
  <si>
    <t>Damage modifier to 1.2x, block buff to 7/8/9/10/12/14 for 2 turns</t>
  </si>
  <si>
    <t>-1 use per turn, New AOE, main tile damage mod to 1.1x, side tile damage mod to 0.55, debuff to -50% damage for 1 turn</t>
  </si>
  <si>
    <t>damage modifier to 1.45x, Mana cost to 5</t>
  </si>
  <si>
    <t>Damage bonus when getting hit increased to 12% from 8%</t>
  </si>
  <si>
    <t>-20% dodge from -10%</t>
  </si>
  <si>
    <t>block</t>
  </si>
  <si>
    <t>resistance reduction</t>
  </si>
  <si>
    <t>Perk</t>
  </si>
  <si>
    <t>Replace physical damage buff with a 20-30% isolation buff</t>
  </si>
  <si>
    <t>Decrease the damage penalty to -35%, decrease the amount of isolated hits needed to activate the perk to 2</t>
  </si>
  <si>
    <t>CriticalPower</t>
  </si>
  <si>
    <t>isolation</t>
  </si>
  <si>
    <t>Reworked to: a skill: Slow death, 1ap, deals base damage and inflicts 45 additional poison for 2 turns. 4 uses per turn</t>
  </si>
  <si>
    <t>Reworked to: Quickshot: 2 ap, 3 multihits
2 uses, inaccurate 2x, 1.4x damage modifier</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</si>
  <si>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</si>
  <si>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</si>
  <si>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</si>
  <si>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</si>
  <si>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</si>
  <si>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</si>
  <si>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</si>
  <si>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</si>
  <si>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</si>
  <si>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</si>
  <si>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</si>
  <si>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</si>
  <si>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</si>
  <si>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</si>
  <si>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</si>
  <si>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</si>
  <si>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</si>
  <si>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</si>
  <si>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Dmg mod to 0.9x, gains propagation x3, Range to 1-8</t>
  </si>
  <si>
    <t>switches places with skill 1, Dmg mod to 1.0x, no longer has opportunism multiplier</t>
  </si>
  <si>
    <t>Reworked to: 2 uses, 1 ap 2 mana, 2 move points, damage mod: 1.25x, 1.5x isolation multiplier, 1.5x opportunism multiplier.</t>
  </si>
  <si>
    <t>Remove the -1 move speed penalty</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</si>
  <si>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</si>
  <si>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</si>
  <si>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</si>
  <si>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</si>
  <si>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</si>
  <si>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</si>
  <si>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</si>
  <si>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</si>
  <si>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</si>
  <si>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</si>
  <si>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</si>
  <si>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</si>
  <si>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</si>
  <si>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</si>
  <si>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</si>
  <si>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</si>
  <si>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</si>
  <si>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</si>
  <si>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</si>
  <si>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1.1x damage mod, 1 ap 2 mana cost, refreshes 4 move points, debuffs accuracy by 10/11/12/13/14/15% </t>
  </si>
  <si>
    <t xml:space="preserve">Stun chance increased to 70% </t>
  </si>
  <si>
    <t>variants</t>
  </si>
  <si>
    <t>Skill 2 aoe</t>
  </si>
  <si>
    <t>DMG mod to 1.35x</t>
  </si>
  <si>
    <t>DMG mod to 1.6x, base propagation bounces to 9</t>
  </si>
  <si>
    <t>magic damage</t>
  </si>
  <si>
    <t>Base Health penalty</t>
  </si>
  <si>
    <t>Now also grants +12% poison damage for 1 turn</t>
  </si>
  <si>
    <t>Remove it</t>
  </si>
  <si>
    <t xml:space="preserve">Mana;Mana Regen
</t>
  </si>
  <si>
    <t xml:space="preserve">Move Points;Dodge
</t>
  </si>
  <si>
    <t>Skill 2 (entangle)</t>
  </si>
  <si>
    <t>Skill 3 (acid spray)</t>
  </si>
  <si>
    <t>-1 mana cost. Effect changed to: -16/17/18/20/22/24 dodge, -30/33/35/38/41/45 block, Purge all positive bonuses (buffs/immunities)</t>
  </si>
  <si>
    <t>Mana;Mana regen</t>
  </si>
  <si>
    <t xml:space="preserve">opportunism
</t>
  </si>
  <si>
    <t>opportunist multiplier decreased to 1.4x from 1.6x</t>
  </si>
  <si>
    <t>Increase damage mod to 1.7x</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</si>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</sst>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s>
  <fills count="7">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202a5465-56f0-424b-a02e-8acd4ec3ba60}" providerId="google-sheets"/>
  <x18tc:person displayName="Abigail" id="{3f3d2e35-1793-47b3-a6d1-c8f6da3a96e1}" providerId="google-sheets"/>
  <x18tc:person displayName="ellaris clavis" id="{c0505b3f-f604-40ca-82a2-1b5474340fc2}"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c0505b3f-f604-40ca-82a2-1b5474340fc2}" id="{dcde69ee-c51f-4d27-8686-cb6f20182142}" done="1">
    <x18tc:text xml:space="preserve">This feels like it makes the hammer a ranged weapon</x18tc:text>
  </x18tc:threadedComment>
  <x18tc:threadedComment ref="A18" dT="2026-01-18T16:37:24.00" personId="{202a5465-56f0-424b-a02e-8acd4ec3ba60}" id="{81541d57-3c0b-4433-93a2-56ff90da9ede}" parentId="{dcde69ee-c51f-4d27-8686-cb6f20182142}">
    <x18tc:text xml:space="preserve">Why? do you mean the +1 use on the skill 2?</x18tc:text>
  </x18tc:threadedComment>
  <x18tc:threadedComment ref="A18" dT="2026-01-18T17:38:03.00" personId="{c0505b3f-f604-40ca-82a2-1b5474340fc2}" id="{91427095-9efb-4883-aa40-490a4843ccf4}" parentId="{dcde69ee-c51f-4d27-8686-cb6f20182142}">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202a5465-56f0-424b-a02e-8acd4ec3ba60}" id="{b899228c-1ac4-48ea-b467-6ba574c6e97a}" parentId="{dcde69ee-c51f-4d27-8686-cb6f20182142}">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c0505b3f-f604-40ca-82a2-1b5474340fc2}" id="{993f0bca-624e-4323-ae2d-5b2815ecde67}" done="1">
    <x18tc:text xml:space="preserve">not sure if this is enough to make it feel good?
at least make skill 1 able to target ground</x18tc:text>
  </x18tc:threadedComment>
  <x18tc:threadedComment ref="D18" dT="2026-01-18T16:39:59.00" personId="{202a5465-56f0-424b-a02e-8acd4ec3ba60}" id="{4cfbd1ea-b226-4a6e-812c-a2e61a43ff63}" parentId="{993f0bca-624e-4323-ae2d-5b2815ecde67}">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3f3d2e35-1793-47b3-a6d1-c8f6da3a96e1}" id="{ad947662-a721-42a4-bac3-fc283e07d468}" parentId="{993f0bca-624e-4323-ae2d-5b2815ecde67}">
    <x18tc:text xml:space="preserve">the movement cost on skill 4 is my biggest criticism of 2h sword, so this is a change I agree with</x18tc:text>
  </x18tc:threadedComment>
  <x18tc:threadedComment ref="D18" dT="2026-01-18T17:36:04.00" personId="{c0505b3f-f604-40ca-82a2-1b5474340fc2}" id="{a1670af8-5fa8-450a-a3b9-3c5711983224}" parentId="{993f0bca-624e-4323-ae2d-5b2815ecde67}">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3f3d2e35-1793-47b3-a6d1-c8f6da3a96e1}" id="{d2a9fca3-4005-4098-b2ec-ef3ff6990a26}" parentId="{993f0bca-624e-4323-ae2d-5b2815ecde67}">
    <x18tc:text xml:space="preserve">Skill 1 doesn't change the damage of skill 4? And why would killing with it matter?</x18tc:text>
  </x18tc:threadedComment>
  <x18tc:threadedComment ref="D18" dT="2026-01-18T18:41:53.00" personId="{c0505b3f-f604-40ca-82a2-1b5474340fc2}" id="{0e4b922d-e2d0-4e8e-92f7-6056f2982c10}" parentId="{993f0bca-624e-4323-ae2d-5b2815ecde67}">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3f3d2e35-1793-47b3-a6d1-c8f6da3a96e1}" id="{ecb55fc2-1fcb-4ab8-8a31-9805d3a9e277}" parentId="{993f0bca-624e-4323-ae2d-5b2815ecde67}">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3f3d2e35-1793-47b3-a6d1-c8f6da3a96e1}" id="{0c398bbc-a904-44d6-afd9-ec7456d44bea}" done="1">
    <x18tc:text xml:space="preserve">I'd also make it apply the debuff to the main target tile</x18tc:text>
  </x18tc:threadedComment>
  <x18tc:threadedComment ref="B15" dT="2026-01-18T17:30:14.00" personId="{202a5465-56f0-424b-a02e-8acd4ec3ba60}" id="{25a5a8fd-d1e3-439f-8007-74a61b3eda49}" parentId="{0c398bbc-a904-44d6-afd9-ec7456d44bea}">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c0505b3f-f604-40ca-82a2-1b5474340fc2}" id="{1b0fb5a2-14fe-4617-8eb1-ebdf2bbd3fc9}"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202a5465-56f0-424b-a02e-8acd4ec3ba60}" id="{40c6c44d-7106-4090-b660-c951c74518d6}" parentId="{1b0fb5a2-14fe-4617-8eb1-ebdf2bbd3fc9}">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c0505b3f-f604-40ca-82a2-1b5474340fc2}" id="{87184dd2-0feb-45be-a029-67e9819228a9}" parentId="{1b0fb5a2-14fe-4617-8eb1-ebdf2bbd3fc9}">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202a5465-56f0-424b-a02e-8acd4ec3ba60}" id="{736169ec-d27a-4d26-a2df-d8789b7d7b03}" parentId="{1b0fb5a2-14fe-4617-8eb1-ebdf2bbd3fc9}">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c0505b3f-f604-40ca-82a2-1b5474340fc2}" id="{6cd8d1fc-ab04-4699-8a32-3b12caeb49c8}" done="1">
    <x18tc:text xml:space="preserve">I'm not sure about the -dodge if it's really necessary.
would be possible to increase the skills damage by block amount?</x18tc:text>
  </x18tc:threadedComment>
  <x18tc:threadedComment ref="B18" dT="2026-01-18T15:32:34.00" personId="{202a5465-56f0-424b-a02e-8acd4ec3ba60}" id="{0898ff63-941a-4676-b34f-303c26a6fb3b}" parentId="{6cd8d1fc-ab04-4699-8a32-3b12caeb49c8}">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c0505b3f-f604-40ca-82a2-1b5474340fc2}" id="{a9aa1c4f-2cf6-4b79-9e24-e6c1b3667f5a}" done="1">
    <x18tc:text xml:space="preserve">could make the steel grant block and this one give movement, since it's light and you like to position yourself with it</x18tc:text>
  </x18tc:threadedComment>
  <x18tc:threadedComment ref="C22" dT="2026-01-18T15:33:33.00" personId="{202a5465-56f0-424b-a02e-8acd4ec3ba60}" id="{370b1ed0-ff2a-4c6f-bcc3-7bcd51ed712d}" parentId="{a9aa1c4f-2cf6-4b79-9e24-e6c1b3667f5a}">
    <x18tc:text xml:space="preserve">That's an option, although few weapons make sense with +armor, so i wanted war shield to have it.</x18tc:text>
  </x18tc:threadedComment>
  <x18tc:threadedComment ref="C22" dT="2026-01-18T17:47:05.00" personId="{c0505b3f-f604-40ca-82a2-1b5474340fc2}" id="{682c6378-aa4b-4d57-b86a-cba75f62b478}" parentId="{a9aa1c4f-2cf6-4b79-9e24-e6c1b3667f5a}">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202a5465-56f0-424b-a02e-8acd4ec3ba60}" id="{904556f5-6400-4d46-a748-313d0e754d22}" parentId="{a9aa1c4f-2cf6-4b79-9e24-e6c1b3667f5a}">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c0505b3f-f604-40ca-82a2-1b5474340fc2}" id="{1a7d7a79-e6af-462c-a3d1-178e238fd30b}" done="1">
    <x18tc:text xml:space="preserve">I don't think dealing damage and applying poison at the same time makes too much sense</x18tc:text>
  </x18tc:threadedComment>
  <x18tc:threadedComment ref="A17" dT="2026-01-18T16:50:22.00" personId="{202a5465-56f0-424b-a02e-8acd4ec3ba60}" id="{4b237943-7009-4b83-ae7a-35adaf21eaa4}" parentId="{1a7d7a79-e6af-462c-a3d1-178e238fd30b}">
    <x18tc:text xml:space="preserve">Why not? Orb does it, Sacred flower does it, bee sting does it.</x18tc:text>
  </x18tc:threadedComment>
  <x18tc:threadedComment ref="A17" dT="2026-01-18T17:08:00.00" personId="{202a5465-56f0-424b-a02e-8acd4ec3ba60}" id="{48ef4581-ad49-47db-a19d-e2d054538cc5}" parentId="{1a7d7a79-e6af-462c-a3d1-178e238fd30b}">
    <x18tc:text xml:space="preserve">Also dagger skill 3 does it</x18tc:text>
  </x18tc:threadedComment>
  <x18tc:threadedComment ref="A17" dT="2026-01-18T17:10:54.00" personId="{3f3d2e35-1793-47b3-a6d1-c8f6da3a96e1}" id="{3a03b83c-adae-4041-98fe-e9e0c98dd477}" parentId="{1a7d7a79-e6af-462c-a3d1-178e238fd30b}">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202a5465-56f0-424b-a02e-8acd4ec3ba60}" id="{38d7bbb0-b1fa-4a8d-baea-76fefa361d4a}" parentId="{1a7d7a79-e6af-462c-a3d1-178e238fd30b}">
    <x18tc:text xml:space="preserve">I think the skill will remain fine, keeping it unchanged for now.</x18tc:text>
  </x18tc:threadedComment>
  <x18tc:threadedComment ref="B17" dT="2026-01-18T16:06:10.00" personId="{c0505b3f-f604-40ca-82a2-1b5474340fc2}" id="{f135fb52-8f8f-40da-93e8-5e87821a1df6}"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202a5465-56f0-424b-a02e-8acd4ec3ba60}" id="{4a8c0c42-e1de-4f3d-894f-86cfd6a9f6ee}" parentId="{f135fb52-8f8f-40da-93e8-5e87821a1df6}">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3f3d2e35-1793-47b3-a6d1-c8f6da3a96e1}" id="{6b752004-f181-4065-9098-b26b804e4942}" parentId="{f135fb52-8f8f-40da-93e8-5e87821a1df6}">
    <x18tc:text xml:space="preserve">I think manaless but no opp would be better, it feels weird for a non magic weapon to use mana on skill 2
but yeah, 2 uses is the important balancing aspect</x18tc:text>
  </x18tc:threadedComment>
  <x18tc:threadedComment ref="B17" dT="2026-01-18T17:24:17.00" personId="{c0505b3f-f604-40ca-82a2-1b5474340fc2}" id="{a45cd1c3-8e91-41e9-a559-33c0228039c3}" parentId="{f135fb52-8f8f-40da-93e8-5e87821a1df6}">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202a5465-56f0-424b-a02e-8acd4ec3ba60}" id="{0cefb9a1-be74-45c0-afbb-c152f4b432c2}" parentId="{f135fb52-8f8f-40da-93e8-5e87821a1df6}">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c0505b3f-f604-40ca-82a2-1b5474340fc2}" id="{9080194d-4d5d-4eb3-8c5e-b9944b45642c}" done="1">
    <x18tc:text xml:space="preserve">I kinda liked the old one, not a fan of these changes</x18tc:text>
  </x18tc:threadedComment>
  <x18tc:threadedComment ref="A18" dT="2026-01-18T15:30:26.00" personId="{202a5465-56f0-424b-a02e-8acd4ec3ba60}" id="{9114da25-8c77-4a10-b7e7-5c0e70bf37f5}" parentId="{9080194d-4d5d-4eb3-8c5e-b9944b45642c}">
    <x18tc:text xml:space="preserve">I can revert the skill 2 and 4 changes but I do think the -res debuff should go to the hammer, not crossbow</x18tc:text>
  </x18tc:threadedComment>
  <x18tc:threadedComment ref="A18" dT="2026-01-18T17:07:25.00" personId="{3f3d2e35-1793-47b3-a6d1-c8f6da3a96e1}" id="{09d2144e-dbcb-48d8-8c59-ea359ae2108b}" parentId="{9080194d-4d5d-4eb3-8c5e-b9944b45642c}">
    <x18tc:text xml:space="preserve">I almost think that crossbow just doesn't need any debuffs. Debuffs and using opportunism doesn't need to be something that every single weapon can do?</x18tc:text>
  </x18tc:threadedComment>
  <x18tc:threadedComment ref="A18" dT="2026-01-18T17:27:25.00" personId="{202a5465-56f0-424b-a02e-8acd4ec3ba60}" id="{e30e09be-a0e8-4fcc-94a8-0668422be19b}" parentId="{9080194d-4d5d-4eb3-8c5e-b9944b45642c}">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c0505b3f-f604-40ca-82a2-1b5474340fc2}" id="{b5a6b14f-7d53-4d60-8ac0-19001708a79d}" parentId="{9080194d-4d5d-4eb3-8c5e-b9944b45642c}">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202a5465-56f0-424b-a02e-8acd4ec3ba60}" id="{c14f6444-4781-4a03-a47b-db949b941c69}" parentId="{9080194d-4d5d-4eb3-8c5e-b9944b45642c}">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c0505b3f-f604-40ca-82a2-1b5474340fc2}" id="{bd731112-704f-4fa8-b1b6-164a74813f6f}" done="1">
    <x18tc:text xml:space="preserve">I feel like it might need more damage, unless base damage already covers that, but pistol always felt weak for me</x18tc:text>
  </x18tc:threadedComment>
  <x18tc:threadedComment ref="C16" dT="2026-01-18T16:49:52.00" personId="{202a5465-56f0-424b-a02e-8acd4ec3ba60}" id="{5cc0d16a-3b0c-41cc-9407-982caf969b86}" parentId="{bd731112-704f-4fa8-b1b6-164a74813f6f}">
    <x18tc:text xml:space="preserve">I think the base damage covers that well enough. It's one of the better skill 3s anyway.</x18tc:text>
  </x18tc:threadedComment>
  <x18tc:threadedComment ref="C16" dT="2026-01-18T17:09:06.00" personId="{3f3d2e35-1793-47b3-a6d1-c8f6da3a96e1}" id="{69442d38-8297-4973-9c70-32ec0e6ba01f}" parentId="{bd731112-704f-4fa8-b1b6-164a74813f6f}">
    <x18tc:text xml:space="preserve">grape shot is a very good skill, a base damage increase would improve it early and then late game it becomes great with proximity shot</x18tc:text>
  </x18tc:threadedComment>
  <x18tc:threadedComment ref="C16" dT="2026-01-18T17:26:05.00" personId="{c0505b3f-f604-40ca-82a2-1b5474340fc2}" id="{ffd705f2-c0e9-40c6-8d0a-79b6478de0f9}" parentId="{bd731112-704f-4fa8-b1b6-164a74813f6f}">
    <x18tc:text xml:space="preserve">yeah, I don't play with many "ranged" perks, since they tend to be ranged damage specific and kinda weird overall, the other perks are definitely more universal</x18tc:text>
  </x18tc:threadedComment>
  <x18tc:threadedComment ref="C16" dT="2026-01-18T18:06:28.00" personId="{3f3d2e35-1793-47b3-a6d1-c8f6da3a96e1}" id="{db3f67f1-f614-4f40-88c0-ed27925956e3}" parentId="{bd731112-704f-4fa8-b1b6-164a74813f6f}">
    <x18tc:text xml:space="preserve">Proximity shot is the only one that's ranged damage specific, and it's a very very good perk</x18tc:text>
  </x18tc:threadedComment>
  <x18tc:threadedComment ref="C16" dT="2026-01-18T18:37:49.00" personId="{c0505b3f-f604-40ca-82a2-1b5474340fc2}" id="{137f937b-ad13-4df6-bf92-36c5aeabc6da}" parentId="{bd731112-704f-4fa8-b1b6-164a74813f6f}">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c0505b3f-f604-40ca-82a2-1b5474340fc2}" id="{ace3c6e5-b042-44cb-a65d-bf3187786b87}" done="1">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202a5465-56f0-424b-a02e-8acd4ec3ba60}" id="{20841983-3800-4788-b4d2-f1401aab5563}" parentId="{ace3c6e5-b042-44cb-a65d-bf3187786b87}">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c0505b3f-f604-40ca-82a2-1b5474340fc2}" id="{fc9cc335-ba90-441a-b6f9-8acf228855c4}" parentId="{ace3c6e5-b042-44cb-a65d-bf3187786b87}">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202a5465-56f0-424b-a02e-8acd4ec3ba60}" id="{90695b59-d81e-4d5e-9dfc-fd9d6bf9235f}" parentId="{ace3c6e5-b042-44cb-a65d-bf3187786b87}">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c0505b3f-f604-40ca-82a2-1b5474340fc2}" id="{055db4fd-4715-4786-b0d5-70d3f7eae0e0}" done="1">
    <x18tc:text xml:space="preserve">I think it could reduce armor or resistance as well as move instead of extra damage</x18tc:text>
  </x18tc:threadedComment>
  <x18tc:threadedComment ref="C16" dT="2026-01-18T16:46:04.00" personId="{202a5465-56f0-424b-a02e-8acd4ec3ba60}" id="{0552617c-692f-45dc-a1fb-7ef153609b20}" parentId="{055db4fd-4715-4786-b0d5-70d3f7eae0e0}">
    <x18tc:text xml:space="preserve">This is only to compensate for the damage nerf really, I think the skill itself is fine. 10 targets is a lot.</x18tc:text>
  </x18tc:threadedComment>
  <x18tc:threadedComment ref="D16" dT="2026-01-18T16:00:36.00" personId="{c0505b3f-f604-40ca-82a2-1b5474340fc2}" id="{fc61192e-a6dc-4246-8ca4-51115e3ceac2}" done="1">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202a5465-56f0-424b-a02e-8acd4ec3ba60}" id="{bed901c1-05f3-48e2-9718-c7b88660abfe}" parentId="{fc61192e-a6dc-4246-8ca4-51115e3ceac2}">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c0505b3f-f604-40ca-82a2-1b5474340fc2}" id="{98cae532-b372-46e4-923b-fe12ca662a9e}" parentId="{fc61192e-a6dc-4246-8ca4-51115e3ceac2}">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202a5465-56f0-424b-a02e-8acd4ec3ba60}" id="{1385165d-ea52-4f0a-b76a-e3ebc4578cb3}" parentId="{fc61192e-a6dc-4246-8ca4-51115e3ceac2}">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c0505b3f-f604-40ca-82a2-1b5474340fc2}" id="{961c9a8e-74a8-42b9-b953-3bea059c77b1}"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202a5465-56f0-424b-a02e-8acd4ec3ba60}" id="{97e103a7-e5b2-4971-8e3c-0ba2473c29d1}" parentId="{961c9a8e-74a8-42b9-b953-3bea059c77b1}">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c0505b3f-f604-40ca-82a2-1b5474340fc2}" id="{20564157-8daa-4eb5-a5f9-1743147c7ef1}" done="1">
    <x18tc:text xml:space="preserve">I think the opportunism fits here</x18tc:text>
  </x18tc:threadedComment>
  <x18tc:threadedComment ref="B16" dT="2026-01-18T16:45:26.00" personId="{202a5465-56f0-424b-a02e-8acd4ec3ba60}" id="{8647afab-623b-42fc-92d5-7c30be171139}" parentId="{20564157-8daa-4eb5-a5f9-1743147c7ef1}">
    <x18tc:text xml:space="preserve">Maybe, but i put opportunism on assassinate instead. This is basically a strict buff, since 0.7 * 1.25 = 0.875</x18tc:text>
  </x18tc:threadedComment>
  <x18tc:threadedComment ref="B16" dT="2026-01-18T18:40:17.00" personId="{c0505b3f-f604-40ca-82a2-1b5474340fc2}" id="{549eafa9-3603-42ea-8ea9-21d77ecaf2f4}" parentId="{20564157-8daa-4eb5-a5f9-1743147c7ef1}">
    <x18tc:text xml:space="preserve">it can't have 2 sources of opportunitism like power staff?</x18tc:text>
  </x18tc:threadedComment>
  <x18tc:threadedComment ref="B16" dT="2026-01-18T19:25:30.00" personId="{202a5465-56f0-424b-a02e-8acd4ec3ba60}" id="{7e837e62-7179-4ed7-809e-c2eaf48eb975}" parentId="{20564157-8daa-4eb5-a5f9-1743147c7ef1}">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c0505b3f-f604-40ca-82a2-1b5474340fc2}" id="{c897168b-7dd7-4816-b9ef-885dadec7445}"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202a5465-56f0-424b-a02e-8acd4ec3ba60}" id="{9e6eec63-f216-4f65-ab08-c9188cffb559}" parentId="{c897168b-7dd7-4816-b9ef-885dadec7445}">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c0505b3f-f604-40ca-82a2-1b5474340fc2}" id="{760da11b-44ca-4e20-9203-a89579f5ff5e}" parentId="{c897168b-7dd7-4816-b9ef-885dadec7445}">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202a5465-56f0-424b-a02e-8acd4ec3ba60}" id="{47e26029-5098-49b2-bbe4-cd0851b4fe30}" parentId="{c897168b-7dd7-4816-b9ef-885dadec7445}">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c0505b3f-f604-40ca-82a2-1b5474340fc2}" id="{348471e8-613d-4435-8bbb-57ef9a61e205}" done="1">
    <x18tc:text xml:space="preserve">I would just make the buff skill have higher range, increase momentum and scale movement 2/3/4/5</x18tc:text>
  </x18tc:threadedComment>
  <x18tc:threadedComment ref="B18" dT="2026-01-18T16:56:30.00" personId="{202a5465-56f0-424b-a02e-8acd4ec3ba60}" id="{ce43a8f7-4cc5-47c7-937e-5be1bfbf9cea}" parentId="{348471e8-613d-4435-8bbb-57ef9a61e205}">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c0505b3f-f604-40ca-82a2-1b5474340fc2}" id="{a0e345e7-e993-44fb-89fc-35584ed7d01a}" done="1">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202a5465-56f0-424b-a02e-8acd4ec3ba60}" id="{6cf1ff91-a35c-47a5-adfe-262107e4c1d6}" parentId="{a0e345e7-e993-44fb-89fc-35584ed7d01a}">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c0505b3f-f604-40ca-82a2-1b5474340fc2}" id="{242f400f-88a0-4932-927e-a42da7378a60}" parentId="{a0e345e7-e993-44fb-89fc-35584ed7d01a}">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202a5465-56f0-424b-a02e-8acd4ec3ba60}" id="{f8ddfc3f-ac72-4ed3-ad45-08c5a9df843c}" parentId="{a0e345e7-e993-44fb-89fc-35584ed7d01a}">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102</v>
      </c>
      <c r="F6" s="10">
        <f>ROUND(F7 * 0.9,0)</f>
        <v>157</v>
      </c>
      <c r="G6" s="10">
        <f t="shared" ref="G6:G12" si="3">AVERAGE(E6:F6)</f>
        <v>129.5</v>
      </c>
      <c r="H6" s="10">
        <v>0.65</v>
      </c>
    </row>
    <row r="7" ht="22.5" customHeight="1">
      <c r="A7" s="10">
        <v>0.0</v>
      </c>
      <c r="B7" s="10">
        <v>111.0</v>
      </c>
      <c r="C7" s="10">
        <v>149.0</v>
      </c>
      <c r="D7" s="11">
        <f t="shared" si="1"/>
        <v>130</v>
      </c>
      <c r="E7" s="10">
        <f t="shared" si="2"/>
        <v>113</v>
      </c>
      <c r="F7" s="10">
        <v>174.0</v>
      </c>
      <c r="G7" s="10">
        <f t="shared" si="3"/>
        <v>143.5</v>
      </c>
      <c r="H7" s="10">
        <v>0.65</v>
      </c>
    </row>
    <row r="8" ht="14.25" customHeight="1">
      <c r="A8" s="10">
        <v>1.0</v>
      </c>
      <c r="B8" s="10">
        <v>124.0</v>
      </c>
      <c r="C8" s="10">
        <v>167.0</v>
      </c>
      <c r="D8" s="11">
        <f t="shared" si="1"/>
        <v>145.5</v>
      </c>
      <c r="E8" s="10">
        <f t="shared" si="2"/>
        <v>124</v>
      </c>
      <c r="F8" s="10">
        <f t="shared" ref="F8:F12" si="4">ROUND(F7*1.1,0)</f>
        <v>191</v>
      </c>
      <c r="G8" s="10">
        <f t="shared" si="3"/>
        <v>157.5</v>
      </c>
      <c r="H8" s="10">
        <v>0.65</v>
      </c>
      <c r="L8" s="1"/>
    </row>
    <row r="9" ht="22.5" customHeight="1">
      <c r="A9" s="10">
        <v>2.0</v>
      </c>
      <c r="B9" s="10">
        <v>139.0</v>
      </c>
      <c r="C9" s="10">
        <v>187.0</v>
      </c>
      <c r="D9" s="11">
        <f t="shared" si="1"/>
        <v>163</v>
      </c>
      <c r="E9" s="10">
        <f t="shared" si="2"/>
        <v>137</v>
      </c>
      <c r="F9" s="10">
        <f t="shared" si="4"/>
        <v>210</v>
      </c>
      <c r="G9" s="10">
        <f t="shared" si="3"/>
        <v>173.5</v>
      </c>
      <c r="H9" s="10">
        <v>0.65</v>
      </c>
    </row>
    <row r="10" ht="16.5" customHeight="1">
      <c r="A10" s="10">
        <v>3.0</v>
      </c>
      <c r="B10" s="10">
        <v>156.0</v>
      </c>
      <c r="C10" s="10">
        <v>209.0</v>
      </c>
      <c r="D10" s="11">
        <f t="shared" si="1"/>
        <v>182.5</v>
      </c>
      <c r="E10" s="10">
        <f t="shared" si="2"/>
        <v>150</v>
      </c>
      <c r="F10" s="10">
        <f t="shared" si="4"/>
        <v>231</v>
      </c>
      <c r="G10" s="10">
        <f t="shared" si="3"/>
        <v>190.5</v>
      </c>
      <c r="H10" s="10">
        <v>0.65</v>
      </c>
    </row>
    <row r="11" ht="16.5" customHeight="1">
      <c r="A11" s="10">
        <v>4.0</v>
      </c>
      <c r="B11" s="10">
        <v>175.0</v>
      </c>
      <c r="C11" s="10">
        <v>234.0</v>
      </c>
      <c r="D11" s="11">
        <f t="shared" si="1"/>
        <v>204.5</v>
      </c>
      <c r="E11" s="10">
        <f t="shared" si="2"/>
        <v>165</v>
      </c>
      <c r="F11" s="10">
        <f t="shared" si="4"/>
        <v>254</v>
      </c>
      <c r="G11" s="10">
        <f t="shared" si="3"/>
        <v>209.5</v>
      </c>
      <c r="H11" s="10">
        <v>0.65</v>
      </c>
    </row>
    <row r="12" ht="16.5" customHeight="1">
      <c r="A12" s="10">
        <v>5.0</v>
      </c>
      <c r="B12" s="10">
        <v>196.0</v>
      </c>
      <c r="C12" s="10">
        <v>292.0</v>
      </c>
      <c r="D12" s="11">
        <f t="shared" si="1"/>
        <v>244</v>
      </c>
      <c r="E12" s="10">
        <f t="shared" si="2"/>
        <v>181</v>
      </c>
      <c r="F12" s="10">
        <f t="shared" si="4"/>
        <v>279</v>
      </c>
      <c r="G12" s="10">
        <f t="shared" si="3"/>
        <v>230</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8</v>
      </c>
      <c r="C22" s="27" t="s">
        <v>106</v>
      </c>
      <c r="D22" s="14" t="s">
        <v>107</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95</v>
      </c>
      <c r="K17" s="28"/>
      <c r="L17" s="28"/>
      <c r="P17" s="28"/>
      <c r="Q17" s="28"/>
    </row>
    <row r="18">
      <c r="A18" s="17" t="s">
        <v>109</v>
      </c>
      <c r="B18" s="17" t="s">
        <v>110</v>
      </c>
      <c r="C18" s="25" t="s">
        <v>111</v>
      </c>
      <c r="D18" s="29" t="s">
        <v>112</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113</v>
      </c>
      <c r="B22" s="27" t="s">
        <v>7</v>
      </c>
      <c r="C22" s="30" t="s">
        <v>34</v>
      </c>
      <c r="D22" s="17" t="s">
        <v>114</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75</v>
      </c>
      <c r="F6" s="10">
        <f>ROUND(F7 * 0.9,0)</f>
        <v>115</v>
      </c>
      <c r="G6" s="10">
        <f t="shared" ref="G6:G12" si="3">AVERAGE(E6:F6)</f>
        <v>95</v>
      </c>
      <c r="H6" s="10">
        <v>0.65</v>
      </c>
    </row>
    <row r="7" ht="22.5" customHeight="1">
      <c r="A7" s="10">
        <v>0.0</v>
      </c>
      <c r="B7" s="10">
        <v>81.0</v>
      </c>
      <c r="C7" s="10">
        <v>104.0</v>
      </c>
      <c r="D7" s="11">
        <f t="shared" si="1"/>
        <v>92.5</v>
      </c>
      <c r="E7" s="10">
        <f t="shared" si="2"/>
        <v>83</v>
      </c>
      <c r="F7" s="10">
        <v>128.0</v>
      </c>
      <c r="G7" s="10">
        <f t="shared" si="3"/>
        <v>105.5</v>
      </c>
      <c r="H7" s="10">
        <v>0.65</v>
      </c>
    </row>
    <row r="8" ht="22.5" customHeight="1">
      <c r="A8" s="10">
        <v>1.0</v>
      </c>
      <c r="B8" s="10">
        <v>90.0</v>
      </c>
      <c r="C8" s="10">
        <v>115.0</v>
      </c>
      <c r="D8" s="11">
        <f t="shared" si="1"/>
        <v>102.5</v>
      </c>
      <c r="E8" s="10">
        <f t="shared" si="2"/>
        <v>92</v>
      </c>
      <c r="F8" s="10">
        <f t="shared" ref="F8:F12" si="4">ROUND(F7*1.1,0)</f>
        <v>141</v>
      </c>
      <c r="G8" s="10">
        <f t="shared" si="3"/>
        <v>116.5</v>
      </c>
      <c r="H8" s="10">
        <v>0.65</v>
      </c>
    </row>
    <row r="9" ht="22.5" customHeight="1">
      <c r="A9" s="10">
        <v>2.0</v>
      </c>
      <c r="B9" s="10">
        <v>100.0</v>
      </c>
      <c r="C9" s="10">
        <v>128.0</v>
      </c>
      <c r="D9" s="11">
        <f t="shared" si="1"/>
        <v>114</v>
      </c>
      <c r="E9" s="10">
        <f t="shared" si="2"/>
        <v>101</v>
      </c>
      <c r="F9" s="10">
        <f t="shared" si="4"/>
        <v>155</v>
      </c>
      <c r="G9" s="10">
        <f t="shared" si="3"/>
        <v>128</v>
      </c>
      <c r="H9" s="10">
        <v>0.65</v>
      </c>
    </row>
    <row r="10" ht="16.5" customHeight="1">
      <c r="A10" s="10">
        <v>3.0</v>
      </c>
      <c r="B10" s="10">
        <v>111.0</v>
      </c>
      <c r="C10" s="10">
        <v>142.0</v>
      </c>
      <c r="D10" s="11">
        <f t="shared" si="1"/>
        <v>126.5</v>
      </c>
      <c r="E10" s="10">
        <f t="shared" si="2"/>
        <v>111</v>
      </c>
      <c r="F10" s="10">
        <f t="shared" si="4"/>
        <v>171</v>
      </c>
      <c r="G10" s="10">
        <f t="shared" si="3"/>
        <v>141</v>
      </c>
      <c r="H10" s="10">
        <v>0.65</v>
      </c>
    </row>
    <row r="11" ht="22.5" customHeight="1">
      <c r="A11" s="10">
        <v>4.0</v>
      </c>
      <c r="B11" s="10">
        <v>123.0</v>
      </c>
      <c r="C11" s="10">
        <v>158.0</v>
      </c>
      <c r="D11" s="11">
        <f t="shared" si="1"/>
        <v>140.5</v>
      </c>
      <c r="E11" s="10">
        <f t="shared" si="2"/>
        <v>122</v>
      </c>
      <c r="F11" s="10">
        <f t="shared" si="4"/>
        <v>188</v>
      </c>
      <c r="G11" s="10">
        <f t="shared" si="3"/>
        <v>155</v>
      </c>
      <c r="H11" s="10">
        <v>0.65</v>
      </c>
    </row>
    <row r="12" ht="22.5" customHeight="1">
      <c r="A12" s="10">
        <v>5.0</v>
      </c>
      <c r="B12" s="10">
        <v>137.0</v>
      </c>
      <c r="C12" s="10">
        <v>175.0</v>
      </c>
      <c r="D12" s="11">
        <f t="shared" si="1"/>
        <v>156</v>
      </c>
      <c r="E12" s="10">
        <f t="shared" si="2"/>
        <v>135</v>
      </c>
      <c r="F12" s="10">
        <f t="shared" si="4"/>
        <v>207</v>
      </c>
      <c r="G12" s="10">
        <f t="shared" si="3"/>
        <v>171</v>
      </c>
      <c r="H12" s="10">
        <v>0.65</v>
      </c>
      <c r="L12" s="31"/>
      <c r="M12" s="31"/>
      <c r="N12" s="31"/>
    </row>
    <row r="13">
      <c r="I13" s="1" t="s">
        <v>115</v>
      </c>
      <c r="L13" s="31"/>
      <c r="M13" s="31"/>
      <c r="N13" s="31"/>
    </row>
    <row r="14">
      <c r="L14" s="19"/>
      <c r="M14" s="19"/>
      <c r="N14" s="19"/>
    </row>
    <row r="15">
      <c r="M15" s="32"/>
    </row>
    <row r="16">
      <c r="A16" s="6" t="s">
        <v>70</v>
      </c>
      <c r="B16" s="7"/>
      <c r="C16" s="7"/>
      <c r="D16" s="12"/>
    </row>
    <row r="17">
      <c r="A17" s="5" t="s">
        <v>71</v>
      </c>
      <c r="B17" s="5" t="s">
        <v>72</v>
      </c>
      <c r="C17" s="6" t="s">
        <v>73</v>
      </c>
      <c r="D17" s="6" t="s">
        <v>95</v>
      </c>
      <c r="E17" s="5" t="s">
        <v>116</v>
      </c>
      <c r="F17" s="5" t="s">
        <v>90</v>
      </c>
    </row>
    <row r="18">
      <c r="A18" s="17" t="s">
        <v>84</v>
      </c>
      <c r="B18" s="17" t="s">
        <v>117</v>
      </c>
      <c r="C18" s="17" t="s">
        <v>118</v>
      </c>
      <c r="D18" s="17" t="s">
        <v>119</v>
      </c>
      <c r="E18" s="17" t="s">
        <v>120</v>
      </c>
      <c r="F18" s="17" t="s">
        <v>121</v>
      </c>
      <c r="H18" s="33"/>
    </row>
    <row r="20">
      <c r="A20" s="1" t="s">
        <v>77</v>
      </c>
    </row>
    <row r="21">
      <c r="A21" s="1" t="s">
        <v>78</v>
      </c>
      <c r="B21" s="1" t="s">
        <v>79</v>
      </c>
      <c r="C21" s="1" t="s">
        <v>80</v>
      </c>
      <c r="D21" s="1" t="s">
        <v>81</v>
      </c>
    </row>
    <row r="22" ht="36.0" customHeight="1">
      <c r="A22" s="34" t="s">
        <v>122</v>
      </c>
      <c r="B22" s="34" t="s">
        <v>8</v>
      </c>
      <c r="C22" s="34" t="s">
        <v>36</v>
      </c>
      <c r="D22" s="23" t="s">
        <v>123</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124</v>
      </c>
    </row>
    <row r="16">
      <c r="A16" s="35" t="s">
        <v>84</v>
      </c>
      <c r="B16" s="17" t="s">
        <v>125</v>
      </c>
      <c r="C16" s="17" t="s">
        <v>84</v>
      </c>
      <c r="D16" s="17" t="s">
        <v>84</v>
      </c>
      <c r="E16" s="14" t="s">
        <v>126</v>
      </c>
    </row>
    <row r="20">
      <c r="A20" s="1" t="s">
        <v>77</v>
      </c>
    </row>
    <row r="21">
      <c r="A21" s="1" t="s">
        <v>78</v>
      </c>
      <c r="B21" s="1" t="s">
        <v>79</v>
      </c>
      <c r="C21" s="1" t="s">
        <v>80</v>
      </c>
      <c r="D21" s="1" t="s">
        <v>81</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129</v>
      </c>
      <c r="B17" s="17" t="s">
        <v>130</v>
      </c>
      <c r="C17" s="25" t="s">
        <v>84</v>
      </c>
      <c r="L17" s="23"/>
      <c r="M17" s="23"/>
      <c r="N17" s="23"/>
    </row>
    <row r="20">
      <c r="A20" s="1" t="s">
        <v>86</v>
      </c>
    </row>
    <row r="21">
      <c r="A21" s="1" t="s">
        <v>78</v>
      </c>
      <c r="B21" s="1" t="s">
        <v>79</v>
      </c>
      <c r="C21" s="1" t="s">
        <v>80</v>
      </c>
      <c r="D21" s="1" t="s">
        <v>81</v>
      </c>
    </row>
    <row r="22">
      <c r="A22" s="34" t="s">
        <v>123</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132</v>
      </c>
      <c r="B16" s="17" t="s">
        <v>133</v>
      </c>
      <c r="C16" s="25" t="s">
        <v>84</v>
      </c>
      <c r="D16" s="29" t="s">
        <v>84</v>
      </c>
      <c r="I16" s="1"/>
    </row>
    <row r="17">
      <c r="A17" s="1"/>
      <c r="L17" s="13"/>
    </row>
    <row r="18">
      <c r="K18" s="13"/>
      <c r="M18" s="13"/>
    </row>
    <row r="19">
      <c r="M19" s="13"/>
      <c r="N19" s="13"/>
    </row>
    <row r="20">
      <c r="A20" s="1" t="s">
        <v>86</v>
      </c>
      <c r="K20" s="13"/>
      <c r="M20" s="13"/>
    </row>
    <row r="21">
      <c r="A21" s="1" t="s">
        <v>134</v>
      </c>
      <c r="B21" s="1" t="s">
        <v>79</v>
      </c>
      <c r="C21" s="1" t="s">
        <v>80</v>
      </c>
      <c r="D21" s="1" t="s">
        <v>81</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136</v>
      </c>
    </row>
    <row r="16" ht="43.5" customHeight="1">
      <c r="A16" s="14" t="s">
        <v>137</v>
      </c>
      <c r="B16" s="14" t="s">
        <v>138</v>
      </c>
      <c r="C16" s="14" t="s">
        <v>139</v>
      </c>
      <c r="D16" s="14" t="s">
        <v>140</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141</v>
      </c>
      <c r="B16" s="17" t="s">
        <v>142</v>
      </c>
      <c r="C16" s="25" t="s">
        <v>143</v>
      </c>
      <c r="D16" s="29" t="s">
        <v>144</v>
      </c>
    </row>
    <row r="20">
      <c r="A20" s="1" t="s">
        <v>86</v>
      </c>
    </row>
    <row r="21">
      <c r="A21" s="1" t="s">
        <v>78</v>
      </c>
      <c r="B21" s="1" t="s">
        <v>79</v>
      </c>
      <c r="C21" s="1" t="s">
        <v>80</v>
      </c>
      <c r="D21" s="1" t="s">
        <v>81</v>
      </c>
    </row>
    <row r="22">
      <c r="A22" s="34" t="s">
        <v>7</v>
      </c>
      <c r="B22" s="34" t="s">
        <v>145</v>
      </c>
      <c r="C22" s="34" t="s">
        <v>146</v>
      </c>
      <c r="D22" s="23" t="s">
        <v>128</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 t="shared" ref="D7:D12" si="3">AVERAGE(B7:C7)</f>
        <v>99</v>
      </c>
      <c r="E7" s="10">
        <f t="shared" si="1"/>
        <v>68</v>
      </c>
      <c r="F7" s="10">
        <v>136.0</v>
      </c>
      <c r="G7" s="10">
        <f t="shared" si="2"/>
        <v>102</v>
      </c>
      <c r="H7" s="10">
        <v>0.5</v>
      </c>
    </row>
    <row r="8" ht="22.5" customHeight="1">
      <c r="A8" s="10">
        <v>1.0</v>
      </c>
      <c r="B8" s="11"/>
      <c r="C8" s="11"/>
      <c r="D8" s="11" t="str">
        <f t="shared" si="3"/>
        <v>#DIV/0!</v>
      </c>
      <c r="E8" s="10">
        <f t="shared" si="1"/>
        <v>75</v>
      </c>
      <c r="F8" s="10">
        <f t="shared" ref="F8:F12" si="4">ROUND(F7*1.1,0)</f>
        <v>150</v>
      </c>
      <c r="G8" s="10">
        <f t="shared" si="2"/>
        <v>112.5</v>
      </c>
      <c r="H8" s="10">
        <v>0.5</v>
      </c>
    </row>
    <row r="9" ht="22.5" customHeight="1">
      <c r="A9" s="10">
        <v>2.0</v>
      </c>
      <c r="B9" s="11"/>
      <c r="C9" s="11"/>
      <c r="D9" s="11" t="str">
        <f t="shared" si="3"/>
        <v>#DIV/0!</v>
      </c>
      <c r="E9" s="10">
        <f t="shared" si="1"/>
        <v>83</v>
      </c>
      <c r="F9" s="10">
        <f t="shared" si="4"/>
        <v>165</v>
      </c>
      <c r="G9" s="10">
        <f t="shared" si="2"/>
        <v>124</v>
      </c>
      <c r="H9" s="10">
        <v>0.5</v>
      </c>
    </row>
    <row r="10" ht="22.5" customHeight="1">
      <c r="A10" s="10">
        <v>3.0</v>
      </c>
      <c r="B10" s="11"/>
      <c r="C10" s="11"/>
      <c r="D10" s="11" t="str">
        <f t="shared" si="3"/>
        <v>#DIV/0!</v>
      </c>
      <c r="E10" s="10">
        <f t="shared" si="1"/>
        <v>91</v>
      </c>
      <c r="F10" s="10">
        <f t="shared" si="4"/>
        <v>182</v>
      </c>
      <c r="G10" s="10">
        <f t="shared" si="2"/>
        <v>136.5</v>
      </c>
      <c r="H10" s="10">
        <v>0.5</v>
      </c>
    </row>
    <row r="11" ht="22.5" customHeight="1">
      <c r="A11" s="10">
        <v>4.0</v>
      </c>
      <c r="B11" s="11"/>
      <c r="C11" s="11"/>
      <c r="D11" s="11" t="str">
        <f t="shared" si="3"/>
        <v>#DIV/0!</v>
      </c>
      <c r="E11" s="10">
        <f t="shared" si="1"/>
        <v>100</v>
      </c>
      <c r="F11" s="10">
        <f t="shared" si="4"/>
        <v>200</v>
      </c>
      <c r="G11" s="10">
        <f t="shared" si="2"/>
        <v>150</v>
      </c>
      <c r="H11" s="10">
        <v>0.5</v>
      </c>
    </row>
    <row r="12" ht="16.5" customHeight="1">
      <c r="A12" s="10">
        <v>5.0</v>
      </c>
      <c r="B12" s="10">
        <v>100.0</v>
      </c>
      <c r="C12" s="10">
        <v>211.0</v>
      </c>
      <c r="D12" s="11">
        <f t="shared" si="3"/>
        <v>155.5</v>
      </c>
      <c r="E12" s="10">
        <f t="shared" si="1"/>
        <v>110</v>
      </c>
      <c r="F12" s="10">
        <f t="shared" si="4"/>
        <v>220</v>
      </c>
      <c r="G12" s="10">
        <f t="shared" si="2"/>
        <v>165</v>
      </c>
      <c r="H12" s="10">
        <v>0.5</v>
      </c>
    </row>
    <row r="13" ht="16.5" customHeight="1"/>
    <row r="14">
      <c r="A14" s="6" t="s">
        <v>70</v>
      </c>
      <c r="B14" s="7"/>
      <c r="C14" s="7"/>
      <c r="D14" s="7"/>
    </row>
    <row r="15">
      <c r="A15" s="5" t="s">
        <v>71</v>
      </c>
      <c r="B15" s="5" t="s">
        <v>72</v>
      </c>
      <c r="C15" s="6" t="s">
        <v>73</v>
      </c>
      <c r="D15" s="37" t="s">
        <v>95</v>
      </c>
      <c r="E15" s="1" t="s">
        <v>124</v>
      </c>
    </row>
    <row r="16">
      <c r="A16" s="17" t="s">
        <v>147</v>
      </c>
      <c r="B16" s="17" t="s">
        <v>84</v>
      </c>
      <c r="C16" s="25" t="s">
        <v>84</v>
      </c>
      <c r="D16" s="26" t="s">
        <v>84</v>
      </c>
      <c r="E16" s="1" t="s">
        <v>148</v>
      </c>
    </row>
    <row r="19">
      <c r="L19" s="13"/>
      <c r="M19" s="13"/>
    </row>
    <row r="20">
      <c r="A20" s="1" t="s">
        <v>86</v>
      </c>
    </row>
    <row r="21">
      <c r="A21" s="1" t="s">
        <v>78</v>
      </c>
      <c r="B21" s="1" t="s">
        <v>79</v>
      </c>
      <c r="C21" s="1" t="s">
        <v>80</v>
      </c>
      <c r="D21" s="1" t="s">
        <v>81</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99</v>
      </c>
      <c r="F6" s="10">
        <f>ROUND(F7 * 0.9,0)</f>
        <v>153</v>
      </c>
      <c r="G6" s="10">
        <f t="shared" ref="G6:G12" si="3">AVERAGE(E6:F6)</f>
        <v>126</v>
      </c>
      <c r="H6" s="10">
        <v>0.65</v>
      </c>
    </row>
    <row r="7" ht="22.5" customHeight="1">
      <c r="A7" s="10">
        <v>0.0</v>
      </c>
      <c r="B7" s="10">
        <v>145.0</v>
      </c>
      <c r="C7" s="10">
        <v>185.0</v>
      </c>
      <c r="D7" s="11">
        <f t="shared" si="1"/>
        <v>165</v>
      </c>
      <c r="E7" s="10">
        <f t="shared" si="2"/>
        <v>111</v>
      </c>
      <c r="F7" s="10">
        <v>170.0</v>
      </c>
      <c r="G7" s="10">
        <f t="shared" si="3"/>
        <v>140.5</v>
      </c>
      <c r="H7" s="10">
        <v>0.65</v>
      </c>
    </row>
    <row r="8" ht="22.5" customHeight="1">
      <c r="A8" s="10">
        <v>1.0</v>
      </c>
      <c r="B8" s="10">
        <v>160.0</v>
      </c>
      <c r="C8" s="10">
        <v>204.0</v>
      </c>
      <c r="D8" s="11">
        <f t="shared" si="1"/>
        <v>182</v>
      </c>
      <c r="E8" s="10">
        <f t="shared" si="2"/>
        <v>122</v>
      </c>
      <c r="F8" s="10">
        <f t="shared" ref="F8:F12" si="4">ROUND(F7*1.1,0)</f>
        <v>187</v>
      </c>
      <c r="G8" s="10">
        <f t="shared" si="3"/>
        <v>154.5</v>
      </c>
      <c r="H8" s="10">
        <v>0.65</v>
      </c>
    </row>
    <row r="9" ht="22.5" customHeight="1">
      <c r="A9" s="10">
        <v>2.0</v>
      </c>
      <c r="B9" s="10">
        <v>176.0</v>
      </c>
      <c r="C9" s="10">
        <v>224.0</v>
      </c>
      <c r="D9" s="11">
        <f t="shared" si="1"/>
        <v>200</v>
      </c>
      <c r="E9" s="10">
        <f t="shared" si="2"/>
        <v>134</v>
      </c>
      <c r="F9" s="10">
        <f t="shared" si="4"/>
        <v>206</v>
      </c>
      <c r="G9" s="10">
        <f t="shared" si="3"/>
        <v>170</v>
      </c>
      <c r="H9" s="10">
        <v>0.65</v>
      </c>
    </row>
    <row r="10" ht="22.5" customHeight="1">
      <c r="A10" s="10">
        <v>3.0</v>
      </c>
      <c r="B10" s="10">
        <v>194.0</v>
      </c>
      <c r="C10" s="10">
        <v>246.0</v>
      </c>
      <c r="D10" s="11">
        <f t="shared" si="1"/>
        <v>220</v>
      </c>
      <c r="E10" s="10">
        <f t="shared" si="2"/>
        <v>148</v>
      </c>
      <c r="F10" s="10">
        <f t="shared" si="4"/>
        <v>227</v>
      </c>
      <c r="G10" s="10">
        <f t="shared" si="3"/>
        <v>187.5</v>
      </c>
      <c r="H10" s="10">
        <v>0.65</v>
      </c>
    </row>
    <row r="11" ht="22.5" customHeight="1">
      <c r="A11" s="10">
        <v>4.0</v>
      </c>
      <c r="B11" s="10">
        <v>213.0</v>
      </c>
      <c r="C11" s="10">
        <v>271.0</v>
      </c>
      <c r="D11" s="11">
        <f t="shared" si="1"/>
        <v>242</v>
      </c>
      <c r="E11" s="10">
        <f t="shared" si="2"/>
        <v>163</v>
      </c>
      <c r="F11" s="10">
        <f t="shared" si="4"/>
        <v>250</v>
      </c>
      <c r="G11" s="10">
        <f t="shared" si="3"/>
        <v>206.5</v>
      </c>
      <c r="H11" s="10">
        <v>0.65</v>
      </c>
    </row>
    <row r="12" ht="22.5" customHeight="1">
      <c r="A12" s="10">
        <v>5.0</v>
      </c>
      <c r="B12" s="10">
        <v>234.0</v>
      </c>
      <c r="C12" s="10">
        <v>298.0</v>
      </c>
      <c r="D12" s="11">
        <f t="shared" si="1"/>
        <v>266</v>
      </c>
      <c r="E12" s="10">
        <f t="shared" si="2"/>
        <v>179</v>
      </c>
      <c r="F12" s="10">
        <f t="shared" si="4"/>
        <v>275</v>
      </c>
      <c r="G12" s="10">
        <f t="shared" si="3"/>
        <v>227</v>
      </c>
      <c r="H12" s="10">
        <v>0.65</v>
      </c>
    </row>
    <row r="13" ht="16.5" customHeight="1"/>
    <row r="14">
      <c r="A14" s="6" t="s">
        <v>70</v>
      </c>
      <c r="B14" s="7"/>
      <c r="C14" s="7"/>
      <c r="D14" s="7"/>
    </row>
    <row r="15">
      <c r="A15" s="5" t="s">
        <v>71</v>
      </c>
      <c r="B15" s="5" t="s">
        <v>72</v>
      </c>
      <c r="C15" s="6" t="s">
        <v>73</v>
      </c>
      <c r="D15" s="37" t="s">
        <v>95</v>
      </c>
      <c r="E15" s="1" t="s">
        <v>124</v>
      </c>
    </row>
    <row r="16" ht="135.75" customHeight="1">
      <c r="A16" s="17" t="s">
        <v>149</v>
      </c>
      <c r="B16" s="17" t="s">
        <v>150</v>
      </c>
      <c r="C16" s="25" t="s">
        <v>84</v>
      </c>
      <c r="D16" s="17" t="s">
        <v>151</v>
      </c>
      <c r="E16" s="23" t="s">
        <v>152</v>
      </c>
    </row>
    <row r="17">
      <c r="A17" s="1"/>
      <c r="I17" s="1"/>
    </row>
    <row r="20">
      <c r="A20" s="1" t="s">
        <v>86</v>
      </c>
    </row>
    <row r="21">
      <c r="A21" s="1" t="s">
        <v>78</v>
      </c>
      <c r="B21" s="1" t="s">
        <v>79</v>
      </c>
      <c r="C21" s="1" t="s">
        <v>80</v>
      </c>
      <c r="D21" s="1" t="s">
        <v>81</v>
      </c>
    </row>
    <row r="22">
      <c r="A22" s="34" t="s">
        <v>128</v>
      </c>
      <c r="B22" s="34" t="s">
        <v>101</v>
      </c>
      <c r="C22" s="34" t="s">
        <v>123</v>
      </c>
      <c r="D22" s="23" t="s">
        <v>153</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124</v>
      </c>
    </row>
    <row r="16" ht="150.75" customHeight="1">
      <c r="A16" s="17" t="s">
        <v>84</v>
      </c>
      <c r="B16" s="17" t="s">
        <v>93</v>
      </c>
      <c r="C16" s="25" t="s">
        <v>154</v>
      </c>
      <c r="D16" s="29" t="s">
        <v>155</v>
      </c>
      <c r="E16" s="38" t="s">
        <v>156</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157</v>
      </c>
      <c r="U5" s="1" t="s">
        <v>158</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116</v>
      </c>
      <c r="J16" s="1"/>
      <c r="K16" s="1"/>
      <c r="L16" s="1"/>
    </row>
    <row r="17" ht="138.0" customHeight="1">
      <c r="A17" s="17" t="s">
        <v>159</v>
      </c>
      <c r="B17" s="17" t="s">
        <v>160</v>
      </c>
      <c r="C17" s="17" t="s">
        <v>161</v>
      </c>
      <c r="D17" s="23" t="s">
        <v>162</v>
      </c>
      <c r="J17" s="23"/>
      <c r="K17" s="23"/>
      <c r="L17" s="23"/>
    </row>
    <row r="18">
      <c r="H18" s="1" t="s">
        <v>163</v>
      </c>
    </row>
    <row r="19">
      <c r="O19" s="18"/>
      <c r="P19" s="18"/>
    </row>
    <row r="20">
      <c r="A20" s="1" t="s">
        <v>86</v>
      </c>
      <c r="N20" s="40"/>
    </row>
    <row r="21">
      <c r="A21" s="1" t="s">
        <v>78</v>
      </c>
      <c r="B21" s="1" t="s">
        <v>79</v>
      </c>
      <c r="C21" s="1" t="s">
        <v>80</v>
      </c>
      <c r="D21" s="1" t="s">
        <v>81</v>
      </c>
      <c r="M21" s="40"/>
    </row>
    <row r="22">
      <c r="A22" s="34" t="s">
        <v>123</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164</v>
      </c>
      <c r="B19" s="17" t="s">
        <v>165</v>
      </c>
      <c r="C19" s="17" t="s">
        <v>166</v>
      </c>
    </row>
    <row r="20">
      <c r="A20" s="1" t="s">
        <v>86</v>
      </c>
    </row>
    <row r="21">
      <c r="A21" s="1" t="s">
        <v>167</v>
      </c>
      <c r="B21" s="1" t="s">
        <v>168</v>
      </c>
      <c r="C21" s="1" t="s">
        <v>169</v>
      </c>
      <c r="D21" s="1" t="s">
        <v>170</v>
      </c>
    </row>
    <row r="22">
      <c r="A22" s="34" t="s">
        <v>145</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171</v>
      </c>
      <c r="B18" s="17" t="s">
        <v>172</v>
      </c>
      <c r="C18" s="17" t="s">
        <v>173</v>
      </c>
      <c r="I18" s="1"/>
    </row>
    <row r="19">
      <c r="K19" s="13"/>
    </row>
    <row r="20">
      <c r="A20" s="1" t="s">
        <v>174</v>
      </c>
      <c r="K20" s="13"/>
    </row>
    <row r="21">
      <c r="A21" s="1" t="s">
        <v>167</v>
      </c>
      <c r="B21" s="1" t="s">
        <v>168</v>
      </c>
      <c r="C21" s="1" t="s">
        <v>169</v>
      </c>
      <c r="D21" s="1" t="s">
        <v>170</v>
      </c>
      <c r="J21" s="1" t="s">
        <v>175</v>
      </c>
    </row>
    <row r="22">
      <c r="A22" s="34" t="s">
        <v>114</v>
      </c>
      <c r="B22" s="34" t="s">
        <v>102</v>
      </c>
      <c r="C22" s="34" t="s">
        <v>103</v>
      </c>
      <c r="D22" s="23" t="s">
        <v>34</v>
      </c>
    </row>
    <row r="24">
      <c r="K24" s="19"/>
      <c r="L24" s="19"/>
      <c r="M24" s="19"/>
    </row>
    <row r="25">
      <c r="K25" s="13"/>
      <c r="L25" s="19"/>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176</v>
      </c>
      <c r="D16" s="17" t="s">
        <v>177</v>
      </c>
    </row>
    <row r="20">
      <c r="A20" s="1" t="s">
        <v>174</v>
      </c>
    </row>
    <row r="21">
      <c r="A21" s="1" t="s">
        <v>167</v>
      </c>
      <c r="B21" s="1" t="s">
        <v>168</v>
      </c>
      <c r="C21" s="1" t="s">
        <v>169</v>
      </c>
      <c r="D21" s="1" t="s">
        <v>170</v>
      </c>
    </row>
    <row r="22">
      <c r="A22" s="23" t="s">
        <v>178</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179</v>
      </c>
    </row>
    <row r="16">
      <c r="A16" s="17" t="s">
        <v>180</v>
      </c>
      <c r="B16" s="17" t="s">
        <v>84</v>
      </c>
      <c r="C16" s="25" t="s">
        <v>84</v>
      </c>
      <c r="D16" s="38" t="s">
        <v>181</v>
      </c>
    </row>
    <row r="17">
      <c r="A17" s="1"/>
    </row>
    <row r="20">
      <c r="A20" s="1" t="s">
        <v>174</v>
      </c>
    </row>
    <row r="21">
      <c r="A21" s="1" t="s">
        <v>167</v>
      </c>
      <c r="B21" s="1" t="s">
        <v>168</v>
      </c>
      <c r="C21" s="1" t="s">
        <v>169</v>
      </c>
      <c r="D21" s="1" t="s">
        <v>170</v>
      </c>
    </row>
    <row r="22">
      <c r="A22" s="23" t="s">
        <v>101</v>
      </c>
      <c r="B22" s="23" t="s">
        <v>128</v>
      </c>
      <c r="C22" s="23" t="s">
        <v>131</v>
      </c>
      <c r="D22" s="23" t="s">
        <v>182</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1"/>
      <c r="B3" s="42" t="s">
        <v>62</v>
      </c>
      <c r="C3" s="7"/>
      <c r="D3" s="7"/>
      <c r="E3" s="7"/>
      <c r="F3" s="7"/>
      <c r="G3" s="8"/>
      <c r="H3" s="43"/>
    </row>
    <row r="4" ht="14.25" customHeight="1">
      <c r="A4" s="44"/>
      <c r="B4" s="44"/>
      <c r="C4" s="44"/>
      <c r="D4" s="44"/>
      <c r="E4" s="44"/>
      <c r="F4" s="44"/>
      <c r="G4" s="45"/>
      <c r="H4" s="45"/>
    </row>
    <row r="5" ht="14.25" customHeight="1">
      <c r="A5" s="46" t="s">
        <v>1</v>
      </c>
      <c r="B5" s="46" t="s">
        <v>63</v>
      </c>
      <c r="C5" s="46" t="s">
        <v>64</v>
      </c>
      <c r="D5" s="46" t="s">
        <v>65</v>
      </c>
      <c r="E5" s="46" t="s">
        <v>66</v>
      </c>
      <c r="F5" s="46" t="s">
        <v>67</v>
      </c>
      <c r="G5" s="47" t="s">
        <v>68</v>
      </c>
      <c r="H5" s="47" t="s">
        <v>69</v>
      </c>
    </row>
    <row r="6" ht="14.25" customHeight="1">
      <c r="A6" s="48">
        <v>-1.0</v>
      </c>
      <c r="B6" s="49">
        <v>85.0</v>
      </c>
      <c r="C6" s="49">
        <v>109.0</v>
      </c>
      <c r="D6" s="50">
        <f t="shared" ref="D6:D12" si="1">AVERAGE(B6:C6)</f>
        <v>97</v>
      </c>
      <c r="E6" s="50">
        <f t="shared" ref="E6:E12" si="2">ROUND(F6*H6,0)</f>
        <v>78</v>
      </c>
      <c r="F6" s="50">
        <f>ROUND(F7 * 0.9,0)</f>
        <v>120</v>
      </c>
      <c r="G6" s="50">
        <f t="shared" ref="G6:G12" si="3">AVERAGE(E6:F6)</f>
        <v>99</v>
      </c>
      <c r="H6" s="49">
        <v>0.65</v>
      </c>
    </row>
    <row r="7" ht="14.25" customHeight="1">
      <c r="A7" s="50">
        <v>0.0</v>
      </c>
      <c r="B7" s="49">
        <v>90.0</v>
      </c>
      <c r="C7" s="49">
        <v>116.0</v>
      </c>
      <c r="D7" s="50">
        <f t="shared" si="1"/>
        <v>103</v>
      </c>
      <c r="E7" s="50">
        <f t="shared" si="2"/>
        <v>86</v>
      </c>
      <c r="F7" s="49">
        <v>133.0</v>
      </c>
      <c r="G7" s="50">
        <f t="shared" si="3"/>
        <v>109.5</v>
      </c>
      <c r="H7" s="49">
        <v>0.65</v>
      </c>
    </row>
    <row r="8" ht="14.25" customHeight="1">
      <c r="A8" s="50">
        <v>1.0</v>
      </c>
      <c r="B8" s="51">
        <v>99.0</v>
      </c>
      <c r="C8" s="51">
        <v>128.0</v>
      </c>
      <c r="D8" s="50">
        <f t="shared" si="1"/>
        <v>113.5</v>
      </c>
      <c r="E8" s="50">
        <f t="shared" si="2"/>
        <v>95</v>
      </c>
      <c r="F8" s="50">
        <f t="shared" ref="F8:F12" si="4">ROUND(F7*1.1,0)</f>
        <v>146</v>
      </c>
      <c r="G8" s="50">
        <f t="shared" si="3"/>
        <v>120.5</v>
      </c>
      <c r="H8" s="49">
        <v>0.65</v>
      </c>
      <c r="K8" s="1"/>
    </row>
    <row r="9" ht="14.25" customHeight="1">
      <c r="A9" s="50">
        <v>2.0</v>
      </c>
      <c r="B9" s="51">
        <v>109.0</v>
      </c>
      <c r="C9" s="51">
        <v>141.0</v>
      </c>
      <c r="D9" s="50">
        <f t="shared" si="1"/>
        <v>125</v>
      </c>
      <c r="E9" s="50">
        <f t="shared" si="2"/>
        <v>105</v>
      </c>
      <c r="F9" s="50">
        <f t="shared" si="4"/>
        <v>161</v>
      </c>
      <c r="G9" s="50">
        <f t="shared" si="3"/>
        <v>133</v>
      </c>
      <c r="H9" s="49">
        <v>0.65</v>
      </c>
    </row>
    <row r="10" ht="14.25" customHeight="1">
      <c r="A10" s="50">
        <v>3.0</v>
      </c>
      <c r="B10" s="51">
        <v>120.0</v>
      </c>
      <c r="C10" s="51">
        <v>155.0</v>
      </c>
      <c r="D10" s="50">
        <f t="shared" si="1"/>
        <v>137.5</v>
      </c>
      <c r="E10" s="50">
        <f t="shared" si="2"/>
        <v>115</v>
      </c>
      <c r="F10" s="50">
        <f t="shared" si="4"/>
        <v>177</v>
      </c>
      <c r="G10" s="50">
        <f t="shared" si="3"/>
        <v>146</v>
      </c>
      <c r="H10" s="49">
        <v>0.65</v>
      </c>
    </row>
    <row r="11" ht="14.25" customHeight="1">
      <c r="A11" s="50">
        <v>4.0</v>
      </c>
      <c r="B11" s="51">
        <v>132.0</v>
      </c>
      <c r="C11" s="51">
        <v>171.0</v>
      </c>
      <c r="D11" s="50">
        <f t="shared" si="1"/>
        <v>151.5</v>
      </c>
      <c r="E11" s="50">
        <f t="shared" si="2"/>
        <v>127</v>
      </c>
      <c r="F11" s="50">
        <f t="shared" si="4"/>
        <v>195</v>
      </c>
      <c r="G11" s="50">
        <f t="shared" si="3"/>
        <v>161</v>
      </c>
      <c r="H11" s="49">
        <v>0.65</v>
      </c>
    </row>
    <row r="12" ht="14.25" customHeight="1">
      <c r="A12" s="50">
        <v>5.0</v>
      </c>
      <c r="B12" s="51">
        <v>145.0</v>
      </c>
      <c r="C12" s="51">
        <v>188.0</v>
      </c>
      <c r="D12" s="50">
        <f t="shared" si="1"/>
        <v>166.5</v>
      </c>
      <c r="E12" s="50">
        <f t="shared" si="2"/>
        <v>140</v>
      </c>
      <c r="F12" s="50">
        <f t="shared" si="4"/>
        <v>215</v>
      </c>
      <c r="G12" s="50">
        <f t="shared" si="3"/>
        <v>177.5</v>
      </c>
      <c r="H12" s="49">
        <v>0.65</v>
      </c>
    </row>
    <row r="13">
      <c r="A13" s="1"/>
    </row>
    <row r="14">
      <c r="A14" s="6" t="s">
        <v>70</v>
      </c>
      <c r="B14" s="7"/>
      <c r="C14" s="7"/>
    </row>
    <row r="15">
      <c r="A15" s="5" t="s">
        <v>71</v>
      </c>
      <c r="B15" s="5" t="s">
        <v>72</v>
      </c>
      <c r="C15" s="6" t="s">
        <v>73</v>
      </c>
      <c r="D15" s="6" t="s">
        <v>95</v>
      </c>
    </row>
    <row r="16">
      <c r="A16" s="17" t="s">
        <v>84</v>
      </c>
      <c r="B16" s="17" t="s">
        <v>84</v>
      </c>
      <c r="C16" s="17" t="s">
        <v>93</v>
      </c>
      <c r="D16" s="17" t="s">
        <v>93</v>
      </c>
    </row>
    <row r="20">
      <c r="A20" s="1" t="s">
        <v>86</v>
      </c>
    </row>
    <row r="21">
      <c r="A21" s="1" t="s">
        <v>167</v>
      </c>
      <c r="B21" s="1" t="s">
        <v>168</v>
      </c>
      <c r="C21" s="1" t="s">
        <v>169</v>
      </c>
      <c r="D21" s="1" t="s">
        <v>170</v>
      </c>
    </row>
    <row r="22">
      <c r="A22" s="23" t="s">
        <v>178</v>
      </c>
      <c r="B22" s="23" t="s">
        <v>101</v>
      </c>
      <c r="C22" s="23" t="s">
        <v>102</v>
      </c>
      <c r="D22" s="23" t="s">
        <v>183</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1"/>
      <c r="B3" s="42" t="s">
        <v>62</v>
      </c>
      <c r="C3" s="7"/>
      <c r="D3" s="7"/>
      <c r="E3" s="7"/>
      <c r="F3" s="7"/>
      <c r="G3" s="8"/>
      <c r="H3" s="43"/>
    </row>
    <row r="4" ht="15.75" customHeight="1">
      <c r="A4" s="44"/>
      <c r="B4" s="44"/>
      <c r="C4" s="44"/>
      <c r="D4" s="44"/>
      <c r="E4" s="44"/>
      <c r="F4" s="44"/>
      <c r="G4" s="45"/>
      <c r="H4" s="45"/>
    </row>
    <row r="5" ht="15.75" customHeight="1">
      <c r="A5" s="46" t="s">
        <v>1</v>
      </c>
      <c r="B5" s="46" t="s">
        <v>63</v>
      </c>
      <c r="C5" s="46" t="s">
        <v>64</v>
      </c>
      <c r="D5" s="46" t="s">
        <v>65</v>
      </c>
      <c r="E5" s="46" t="s">
        <v>66</v>
      </c>
      <c r="F5" s="46" t="s">
        <v>67</v>
      </c>
      <c r="G5" s="47" t="s">
        <v>68</v>
      </c>
      <c r="H5" s="47" t="s">
        <v>69</v>
      </c>
    </row>
    <row r="6" ht="15.75" customHeight="1">
      <c r="A6" s="48">
        <v>-1.0</v>
      </c>
      <c r="B6" s="49">
        <v>61.0</v>
      </c>
      <c r="C6" s="49">
        <v>77.0</v>
      </c>
      <c r="D6" s="50">
        <f t="shared" ref="D6:D12" si="1">AVERAGE(B6:C6)</f>
        <v>69</v>
      </c>
      <c r="E6" s="50">
        <f t="shared" ref="E6:E12" si="2">ROUND(F6*H6,0)</f>
        <v>64</v>
      </c>
      <c r="F6" s="50">
        <f>ROUND(F7 * 0.9,0)</f>
        <v>80</v>
      </c>
      <c r="G6" s="50">
        <f t="shared" ref="G6:G12" si="3">AVERAGE(E6:F6)</f>
        <v>72</v>
      </c>
      <c r="H6" s="49">
        <v>0.8</v>
      </c>
    </row>
    <row r="7" ht="15.75" customHeight="1">
      <c r="A7" s="50">
        <v>0.0</v>
      </c>
      <c r="B7" s="49">
        <v>65.0</v>
      </c>
      <c r="C7" s="49">
        <v>83.0</v>
      </c>
      <c r="D7" s="50">
        <f t="shared" si="1"/>
        <v>74</v>
      </c>
      <c r="E7" s="50">
        <f t="shared" si="2"/>
        <v>71</v>
      </c>
      <c r="F7" s="49">
        <v>89.0</v>
      </c>
      <c r="G7" s="50">
        <f t="shared" si="3"/>
        <v>80</v>
      </c>
      <c r="H7" s="49">
        <v>0.8</v>
      </c>
    </row>
    <row r="8" ht="15.75" customHeight="1">
      <c r="A8" s="50">
        <v>1.0</v>
      </c>
      <c r="B8" s="51">
        <v>72.0</v>
      </c>
      <c r="C8" s="51">
        <v>91.0</v>
      </c>
      <c r="D8" s="50">
        <f t="shared" si="1"/>
        <v>81.5</v>
      </c>
      <c r="E8" s="50">
        <f t="shared" si="2"/>
        <v>78</v>
      </c>
      <c r="F8" s="50">
        <f t="shared" ref="F8:F12" si="4">ROUND(F7*1.1,0)</f>
        <v>98</v>
      </c>
      <c r="G8" s="50">
        <f t="shared" si="3"/>
        <v>88</v>
      </c>
      <c r="H8" s="49">
        <v>0.8</v>
      </c>
      <c r="K8" s="1"/>
    </row>
    <row r="9" ht="15.75" customHeight="1">
      <c r="A9" s="50">
        <v>2.0</v>
      </c>
      <c r="B9" s="51">
        <v>79.0</v>
      </c>
      <c r="C9" s="51">
        <v>100.0</v>
      </c>
      <c r="D9" s="50">
        <f t="shared" si="1"/>
        <v>89.5</v>
      </c>
      <c r="E9" s="50">
        <f t="shared" si="2"/>
        <v>86</v>
      </c>
      <c r="F9" s="50">
        <f t="shared" si="4"/>
        <v>108</v>
      </c>
      <c r="G9" s="50">
        <f t="shared" si="3"/>
        <v>97</v>
      </c>
      <c r="H9" s="49">
        <v>0.8</v>
      </c>
    </row>
    <row r="10" ht="15.75" customHeight="1">
      <c r="A10" s="50">
        <v>3.0</v>
      </c>
      <c r="B10" s="51">
        <v>87.0</v>
      </c>
      <c r="C10" s="51">
        <v>110.0</v>
      </c>
      <c r="D10" s="50">
        <f t="shared" si="1"/>
        <v>98.5</v>
      </c>
      <c r="E10" s="50">
        <f t="shared" si="2"/>
        <v>95</v>
      </c>
      <c r="F10" s="50">
        <f t="shared" si="4"/>
        <v>119</v>
      </c>
      <c r="G10" s="50">
        <f t="shared" si="3"/>
        <v>107</v>
      </c>
      <c r="H10" s="49">
        <v>0.8</v>
      </c>
    </row>
    <row r="11" ht="15.75" customHeight="1">
      <c r="A11" s="50">
        <v>4.0</v>
      </c>
      <c r="B11" s="51">
        <v>96.0</v>
      </c>
      <c r="C11" s="51">
        <v>121.0</v>
      </c>
      <c r="D11" s="50">
        <f t="shared" si="1"/>
        <v>108.5</v>
      </c>
      <c r="E11" s="50">
        <f t="shared" si="2"/>
        <v>105</v>
      </c>
      <c r="F11" s="50">
        <f t="shared" si="4"/>
        <v>131</v>
      </c>
      <c r="G11" s="50">
        <f t="shared" si="3"/>
        <v>118</v>
      </c>
      <c r="H11" s="49">
        <v>0.8</v>
      </c>
    </row>
    <row r="12" ht="15.75" customHeight="1">
      <c r="A12" s="52">
        <v>5.0</v>
      </c>
      <c r="B12" s="53">
        <v>106.0</v>
      </c>
      <c r="C12" s="53">
        <v>133.0</v>
      </c>
      <c r="D12" s="50">
        <f t="shared" si="1"/>
        <v>119.5</v>
      </c>
      <c r="E12" s="50">
        <f t="shared" si="2"/>
        <v>115</v>
      </c>
      <c r="F12" s="50">
        <f t="shared" si="4"/>
        <v>144</v>
      </c>
      <c r="G12" s="50">
        <f t="shared" si="3"/>
        <v>129.5</v>
      </c>
      <c r="H12" s="49">
        <v>0.8</v>
      </c>
    </row>
    <row r="13">
      <c r="A13" s="54"/>
      <c r="B13" s="55"/>
      <c r="C13" s="55"/>
      <c r="D13" s="20"/>
      <c r="E13" s="56"/>
      <c r="F13" s="56"/>
      <c r="G13" s="56"/>
      <c r="H13" s="57"/>
    </row>
    <row r="14">
      <c r="A14" s="58" t="s">
        <v>70</v>
      </c>
      <c r="B14" s="59"/>
      <c r="C14" s="59"/>
    </row>
    <row r="15">
      <c r="A15" s="5" t="s">
        <v>71</v>
      </c>
      <c r="B15" s="5" t="s">
        <v>184</v>
      </c>
      <c r="C15" s="6" t="s">
        <v>185</v>
      </c>
      <c r="D15" s="6" t="s">
        <v>95</v>
      </c>
    </row>
    <row r="16">
      <c r="A16" s="17" t="s">
        <v>84</v>
      </c>
      <c r="B16" s="17" t="s">
        <v>84</v>
      </c>
      <c r="C16" s="17" t="s">
        <v>186</v>
      </c>
      <c r="D16" s="17" t="s">
        <v>84</v>
      </c>
    </row>
    <row r="20">
      <c r="A20" s="1" t="s">
        <v>86</v>
      </c>
    </row>
    <row r="21">
      <c r="A21" s="1" t="s">
        <v>167</v>
      </c>
      <c r="B21" s="1" t="s">
        <v>168</v>
      </c>
      <c r="C21" s="1" t="s">
        <v>169</v>
      </c>
      <c r="D21" s="1" t="s">
        <v>170</v>
      </c>
    </row>
    <row r="22">
      <c r="A22" s="23" t="s">
        <v>187</v>
      </c>
      <c r="B22" s="23" t="s">
        <v>5</v>
      </c>
      <c r="C22" s="23" t="s">
        <v>17</v>
      </c>
      <c r="D22" s="23" t="s">
        <v>188</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189</v>
      </c>
      <c r="B16" s="17" t="s">
        <v>93</v>
      </c>
      <c r="C16" s="17" t="s">
        <v>190</v>
      </c>
    </row>
    <row r="20">
      <c r="A20" s="1" t="s">
        <v>86</v>
      </c>
    </row>
    <row r="21">
      <c r="A21" s="1" t="s">
        <v>167</v>
      </c>
      <c r="B21" s="1" t="s">
        <v>168</v>
      </c>
      <c r="C21" s="1" t="s">
        <v>169</v>
      </c>
      <c r="D21" s="1" t="s">
        <v>170</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1"/>
      <c r="B3" s="42" t="s">
        <v>62</v>
      </c>
      <c r="C3" s="7"/>
      <c r="D3" s="7"/>
      <c r="E3" s="7"/>
      <c r="F3" s="7"/>
      <c r="G3" s="8"/>
      <c r="H3" s="43"/>
    </row>
    <row r="4" ht="15.75" customHeight="1">
      <c r="A4" s="44"/>
      <c r="B4" s="44"/>
      <c r="C4" s="44"/>
      <c r="D4" s="44"/>
      <c r="E4" s="44"/>
      <c r="F4" s="44"/>
      <c r="G4" s="45"/>
      <c r="H4" s="45"/>
    </row>
    <row r="5" ht="15.75" customHeight="1">
      <c r="A5" s="46" t="s">
        <v>1</v>
      </c>
      <c r="B5" s="46" t="s">
        <v>63</v>
      </c>
      <c r="C5" s="46" t="s">
        <v>64</v>
      </c>
      <c r="D5" s="46" t="s">
        <v>65</v>
      </c>
      <c r="E5" s="46" t="s">
        <v>66</v>
      </c>
      <c r="F5" s="46" t="s">
        <v>67</v>
      </c>
      <c r="G5" s="47" t="s">
        <v>68</v>
      </c>
      <c r="H5" s="47" t="s">
        <v>69</v>
      </c>
    </row>
    <row r="6" ht="15.75" customHeight="1">
      <c r="A6" s="48">
        <v>-1.0</v>
      </c>
      <c r="B6" s="49">
        <v>84.0</v>
      </c>
      <c r="C6" s="49">
        <v>117.0</v>
      </c>
      <c r="D6" s="50">
        <f t="shared" ref="D6:D12" si="1">AVERAGE(B6:C6)</f>
        <v>100.5</v>
      </c>
      <c r="E6" s="48">
        <f t="shared" ref="E6:E12" si="2">ROUND(F6*H6,0)</f>
        <v>68</v>
      </c>
      <c r="F6" s="50">
        <f>ROUND(F7 * 0.9,0)</f>
        <v>135</v>
      </c>
      <c r="G6" s="50">
        <f t="shared" ref="G6:G12" si="3">AVERAGE(E6:F6)</f>
        <v>101.5</v>
      </c>
      <c r="H6" s="49">
        <v>0.5</v>
      </c>
    </row>
    <row r="7" ht="15.75" customHeight="1">
      <c r="A7" s="50">
        <v>0.0</v>
      </c>
      <c r="B7" s="49">
        <v>89.0</v>
      </c>
      <c r="C7" s="49">
        <v>124.0</v>
      </c>
      <c r="D7" s="50">
        <f t="shared" si="1"/>
        <v>106.5</v>
      </c>
      <c r="E7" s="48">
        <f t="shared" si="2"/>
        <v>75</v>
      </c>
      <c r="F7" s="49">
        <v>150.0</v>
      </c>
      <c r="G7" s="50">
        <f t="shared" si="3"/>
        <v>112.5</v>
      </c>
      <c r="H7" s="49">
        <v>0.5</v>
      </c>
    </row>
    <row r="8" ht="15.75" customHeight="1">
      <c r="A8" s="50">
        <v>1.0</v>
      </c>
      <c r="B8" s="51">
        <v>93.0</v>
      </c>
      <c r="C8" s="51">
        <v>130.0</v>
      </c>
      <c r="D8" s="50">
        <f t="shared" si="1"/>
        <v>111.5</v>
      </c>
      <c r="E8" s="48">
        <f t="shared" si="2"/>
        <v>83</v>
      </c>
      <c r="F8" s="50">
        <f t="shared" ref="F8:F12" si="4">ROUND(F7*1.1,0)</f>
        <v>165</v>
      </c>
      <c r="G8" s="50">
        <f t="shared" si="3"/>
        <v>124</v>
      </c>
      <c r="H8" s="49">
        <v>0.5</v>
      </c>
      <c r="K8" s="1"/>
    </row>
    <row r="9" ht="15.75" customHeight="1">
      <c r="A9" s="50">
        <v>2.0</v>
      </c>
      <c r="B9" s="51">
        <v>103.0</v>
      </c>
      <c r="C9" s="51">
        <v>144.0</v>
      </c>
      <c r="D9" s="50">
        <f t="shared" si="1"/>
        <v>123.5</v>
      </c>
      <c r="E9" s="48">
        <f t="shared" si="2"/>
        <v>91</v>
      </c>
      <c r="F9" s="50">
        <f t="shared" si="4"/>
        <v>182</v>
      </c>
      <c r="G9" s="50">
        <f t="shared" si="3"/>
        <v>136.5</v>
      </c>
      <c r="H9" s="49">
        <v>0.5</v>
      </c>
    </row>
    <row r="10" ht="15.75" customHeight="1">
      <c r="A10" s="50">
        <v>3.0</v>
      </c>
      <c r="B10" s="51">
        <v>114.0</v>
      </c>
      <c r="C10" s="51">
        <v>160.0</v>
      </c>
      <c r="D10" s="50">
        <f t="shared" si="1"/>
        <v>137</v>
      </c>
      <c r="E10" s="48">
        <f t="shared" si="2"/>
        <v>100</v>
      </c>
      <c r="F10" s="50">
        <f t="shared" si="4"/>
        <v>200</v>
      </c>
      <c r="G10" s="50">
        <f t="shared" si="3"/>
        <v>150</v>
      </c>
      <c r="H10" s="49">
        <v>0.5</v>
      </c>
    </row>
    <row r="11" ht="15.75" customHeight="1">
      <c r="A11" s="50">
        <v>4.0</v>
      </c>
      <c r="B11" s="51">
        <v>127.0</v>
      </c>
      <c r="C11" s="51">
        <v>178.0</v>
      </c>
      <c r="D11" s="50">
        <f t="shared" si="1"/>
        <v>152.5</v>
      </c>
      <c r="E11" s="48">
        <f t="shared" si="2"/>
        <v>110</v>
      </c>
      <c r="F11" s="50">
        <f t="shared" si="4"/>
        <v>220</v>
      </c>
      <c r="G11" s="50">
        <f t="shared" si="3"/>
        <v>165</v>
      </c>
      <c r="H11" s="49">
        <v>0.5</v>
      </c>
    </row>
    <row r="12" ht="15.75" customHeight="1">
      <c r="A12" s="52">
        <v>5.0</v>
      </c>
      <c r="B12" s="53">
        <v>141.0</v>
      </c>
      <c r="C12" s="53">
        <v>198.0</v>
      </c>
      <c r="D12" s="50">
        <f t="shared" si="1"/>
        <v>169.5</v>
      </c>
      <c r="E12" s="48">
        <f t="shared" si="2"/>
        <v>121</v>
      </c>
      <c r="F12" s="50">
        <f t="shared" si="4"/>
        <v>242</v>
      </c>
      <c r="G12" s="50">
        <f t="shared" si="3"/>
        <v>181.5</v>
      </c>
      <c r="H12" s="49">
        <v>0.5</v>
      </c>
    </row>
    <row r="13">
      <c r="A13" s="54"/>
      <c r="B13" s="55"/>
      <c r="C13" s="55"/>
      <c r="D13" s="20"/>
      <c r="E13" s="56"/>
      <c r="F13" s="56"/>
      <c r="G13" s="56"/>
      <c r="H13" s="57"/>
    </row>
    <row r="14">
      <c r="A14" s="58" t="s">
        <v>70</v>
      </c>
      <c r="B14" s="59"/>
      <c r="C14" s="59"/>
    </row>
    <row r="15">
      <c r="A15" s="5" t="s">
        <v>71</v>
      </c>
      <c r="B15" s="5" t="s">
        <v>191</v>
      </c>
      <c r="C15" s="6" t="s">
        <v>192</v>
      </c>
      <c r="D15" s="6" t="s">
        <v>95</v>
      </c>
      <c r="E15" s="5" t="s">
        <v>124</v>
      </c>
    </row>
    <row r="16" ht="109.5" customHeight="1">
      <c r="A16" s="17" t="s">
        <v>84</v>
      </c>
      <c r="B16" s="17" t="s">
        <v>84</v>
      </c>
      <c r="C16" s="17" t="s">
        <v>84</v>
      </c>
      <c r="D16" s="17" t="s">
        <v>84</v>
      </c>
      <c r="E16" s="17" t="s">
        <v>193</v>
      </c>
    </row>
    <row r="20">
      <c r="A20" s="1" t="s">
        <v>86</v>
      </c>
    </row>
    <row r="21">
      <c r="A21" s="1" t="s">
        <v>167</v>
      </c>
      <c r="B21" s="1" t="s">
        <v>168</v>
      </c>
      <c r="C21" s="1" t="s">
        <v>169</v>
      </c>
      <c r="D21" s="1" t="s">
        <v>170</v>
      </c>
    </row>
    <row r="22">
      <c r="A22" s="34" t="s">
        <v>101</v>
      </c>
      <c r="B22" s="34" t="s">
        <v>8</v>
      </c>
      <c r="C22" s="34" t="s">
        <v>7</v>
      </c>
      <c r="D22" s="23" t="s">
        <v>35</v>
      </c>
    </row>
  </sheetData>
  <mergeCells count="2">
    <mergeCell ref="B3:G3"/>
    <mergeCell ref="A14:C14"/>
  </mergeCells>
  <drawing r:id="rId1"/>
  <tableParts count="1">
    <tablePart r:id="rId3"/>
  </tableParts>
</worksheet>
</file>