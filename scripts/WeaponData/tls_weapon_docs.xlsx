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tc={78e3def7-355e-4bfc-b6b8-aa4cdade3ca6}</author>
  </authors>
  <commentList>
    <comment authorId="0" xr:uid="{78e3def7-355e-4bfc-b6b8-aa4cdade3ca6}"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tc={bdecaa29-2798-42c7-9573-b03ab8b6ae75}</author>
  </authors>
  <commentList>
    <comment authorId="0" xr:uid="{bdecaa29-2798-42c7-9573-b03ab8b6ae75}"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tc={b1af1b53-82f2-4920-aba1-ce91ee375e79}</author>
  </authors>
  <commentList>
    <comment authorId="0" xr:uid="{b1af1b53-82f2-4920-aba1-ce91ee375e79}"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tc={6830d56b-b477-48b9-aa46-5c3c16f928b8}</author>
  </authors>
  <commentList>
    <comment authorId="0" xr:uid="{6830d56b-b477-48b9-aa46-5c3c16f928b8}"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tc={8b97f525-379f-4379-a93c-f17fd5543f7a}</author>
    <author>tc={d025326f-e30b-4f1e-a04d-39dc6fb783e6}</author>
  </authors>
  <commentList>
    <comment authorId="0" xr:uid="{8b97f525-379f-4379-a93c-f17fd5543f7a}"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 authorId="1" xr:uid="{d025326f-e30b-4f1e-a04d-39dc6fb783e6}"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tc={557ad0db-984e-4cd9-94f9-4dc36ae73331}</author>
    <author>tc={d1a910bb-1f51-4123-87b5-7519eb321b2d}</author>
  </authors>
  <commentList>
    <comment authorId="0" xr:uid="{557ad0db-984e-4cd9-94f9-4dc36ae73331}"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 authorId="1" xr:uid="{d1a910bb-1f51-4123-87b5-7519eb321b2d}"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tc={79e3fa3a-299d-4f62-9632-3d59d3aafbe9}</author>
  </authors>
  <commentList>
    <comment authorId="0" xr:uid="{79e3fa3a-299d-4f62-9632-3d59d3aafbe9}"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tc={40e44944-c35d-4dcd-8580-3898bd8c0875}</author>
  </authors>
  <commentList>
    <comment authorId="0" xr:uid="{40e44944-c35d-4dcd-8580-3898bd8c0875}"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tc={9645f1ec-2bdf-4530-98ac-b92f04caf4de}</author>
  </authors>
  <commentList>
    <comment authorId="0" xr:uid="{9645f1ec-2bdf-4530-98ac-b92f04caf4de}"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tc={2c583599-c312-4eb8-95fe-b17fc4d6c651}</author>
    <author>tc={3a507f89-a6d5-4a67-9e44-4348a2b8a65d}</author>
    <author>tc={4c88eb0e-574a-46bf-85b7-930c7592f0ef}</author>
    <author>tc={5a2d9b9b-8d56-453d-9a8c-03061432d06c}</author>
  </authors>
  <commentList>
    <comment authorId="0" xr:uid="{2c583599-c312-4eb8-95fe-b17fc4d6c651}"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 authorId="1" xr:uid="{3a507f89-a6d5-4a67-9e44-4348a2b8a65d}"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 authorId="2" xr:uid="{4c88eb0e-574a-46bf-85b7-930c7592f0ef}"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3" xr:uid="{5a2d9b9b-8d56-453d-9a8c-03061432d06c}"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tc={60ecf472-c0e8-438f-9f75-74df273de9ef}</author>
  </authors>
  <commentList>
    <comment authorId="0" xr:uid="{60ecf472-c0e8-438f-9f75-74df273de9ef}"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tc={551d92a9-a8fa-48de-9d23-044afac49249}</author>
  </authors>
  <commentList>
    <comment authorId="0" xr:uid="{551d92a9-a8fa-48de-9d23-044afac49249}"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tc={590e0a43-4c44-404d-baed-7e4315842424}</author>
  </authors>
  <commentList>
    <comment authorId="0" xr:uid="{590e0a43-4c44-404d-baed-7e4315842424}"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<sst xmlns="http://schemas.openxmlformats.org/spreadsheetml/2006/main" count="812" uniqueCount="202">
  <si>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</si>
  <si>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</si>
  <si>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</si>
  <si>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</si>
  <si>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</si>
  <si>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</si>
  <si>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</si>
  <si>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</si>
  <si>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</si>
  <si>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</si>
  <si>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</si>
  <si>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</si>
  <si>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</si>
  <si>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</si>
  <si>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</si>
  <si>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</si>
  <si>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</si>
  <si>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</si>
  <si>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</si>
  <si>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6;2</t>
  </si>
  <si>
    <t>40;8</t>
  </si>
  <si>
    <t>7;2</t>
  </si>
  <si>
    <t>48;9</t>
  </si>
  <si>
    <t>8;3</t>
  </si>
  <si>
    <t>56;10</t>
  </si>
  <si>
    <t>9;3</t>
  </si>
  <si>
    <t>64;12</t>
  </si>
  <si>
    <t>10;4</t>
  </si>
  <si>
    <t>72;14</t>
  </si>
  <si>
    <t>12;4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</si>
  <si>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</si>
  <si>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</si>
  <si>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</si>
  <si>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</si>
  <si>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</si>
  <si>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</si>
  <si>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</si>
  <si>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</si>
  <si>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</si>
  <si>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50;16</t>
  </si>
  <si>
    <t>1;7</t>
  </si>
  <si>
    <t>42;6</t>
  </si>
  <si>
    <t>60;19</t>
  </si>
  <si>
    <t>1;8</t>
  </si>
  <si>
    <t>50;7</t>
  </si>
  <si>
    <t>14;5</t>
  </si>
  <si>
    <t>70;22</t>
  </si>
  <si>
    <t>2;9</t>
  </si>
  <si>
    <t>57;8</t>
  </si>
  <si>
    <t>16;6</t>
  </si>
  <si>
    <t>80;25</t>
  </si>
  <si>
    <t>2;10</t>
  </si>
  <si>
    <t>63;9</t>
  </si>
  <si>
    <t>18;7</t>
  </si>
  <si>
    <t>90;28</t>
  </si>
  <si>
    <t>2;12</t>
  </si>
  <si>
    <t>70;10</t>
  </si>
  <si>
    <t>20;8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</si>
  <si>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</si>
  <si>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</si>
  <si>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</si>
  <si>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</si>
  <si>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</si>
  <si>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</si>
  <si>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</si>
  <si>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</si>
  <si>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</si>
  <si>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</si>
  <si>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</si>
  <si>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</si>
  <si>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</si>
  <si>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</si>
  <si>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</si>
  <si>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 xml:space="preserve"> +1 range, dmg mod to 1.7x from 1.6x</t>
  </si>
  <si>
    <t>-1 mana cost, +1 range, dmg mod to 1.7x from 1.6x</t>
  </si>
  <si>
    <t>Variants:</t>
  </si>
  <si>
    <t>Steel</t>
  </si>
  <si>
    <t>silver</t>
  </si>
  <si>
    <t>mythril</t>
  </si>
  <si>
    <t>adamantium</t>
  </si>
  <si>
    <t>Move points;Dodge</t>
  </si>
  <si>
    <t>now aplies -15% resistance debuff for 1 turn</t>
  </si>
  <si>
    <t xml:space="preserve"> +1 use</t>
  </si>
  <si>
    <t>Increase stun chance to 125 on the main tile, secondary damage mod to 0.66x from 0.5x</t>
  </si>
  <si>
    <t>Variants</t>
  </si>
  <si>
    <t>No changes</t>
  </si>
  <si>
    <t>Now has a 3x3 aoe, centered around the bottom-center tile</t>
  </si>
  <si>
    <t>dmg mod to 1.6x from 1.4x</t>
  </si>
  <si>
    <t>New skill 2 aoe</t>
  </si>
  <si>
    <t>Base stat penalties/bonuses</t>
  </si>
  <si>
    <t>Refreshes +2 move points</t>
  </si>
  <si>
    <t>dmg mod to 1.6x</t>
  </si>
  <si>
    <t>no changes</t>
  </si>
  <si>
    <t>Remove them</t>
  </si>
  <si>
    <t>Skill 4</t>
  </si>
  <si>
    <t xml:space="preserve"> +1 move restore</t>
  </si>
  <si>
    <t xml:space="preserve"> +5 base momentum</t>
  </si>
  <si>
    <t xml:space="preserve"> +5 base momentum, Remove movement cost, increase mana cost to 3</t>
  </si>
  <si>
    <t>Resistance reduction</t>
  </si>
  <si>
    <t>Physical damage</t>
  </si>
  <si>
    <t xml:space="preserve"> +1 use, +1 base prop bounce</t>
  </si>
  <si>
    <t>opportunism</t>
  </si>
  <si>
    <t>stun chance</t>
  </si>
  <si>
    <t>propagation damage</t>
  </si>
  <si>
    <t xml:space="preserve">Now gives   -12/11/12/13/14/18 dodge debuff to ALL tiles for 2 turns instead of -2 move points for 1 turn to secondary tiles </t>
  </si>
  <si>
    <t>accuracy</t>
  </si>
  <si>
    <t>reliability</t>
  </si>
  <si>
    <t>critical</t>
  </si>
  <si>
    <t>new skill 1 aoe</t>
  </si>
  <si>
    <t>Added a 4th primary tile</t>
  </si>
  <si>
    <t>dmg mod to 1.15x</t>
  </si>
  <si>
    <t>physical damage</t>
  </si>
  <si>
    <t>momentum</t>
  </si>
  <si>
    <t>New Skill 3 aoe:</t>
  </si>
  <si>
    <t>Perk:</t>
  </si>
  <si>
    <t>Damage modifier to 1.2x, block buff to 10-15 for 1 turn</t>
  </si>
  <si>
    <t>-1 use per turn, New AOE, main tile damage mod to 1.1x, side tile damage mod to 0.55, debuff to -50% damage for 1 turn</t>
  </si>
  <si>
    <t>damage modifier to 1.45x, Mana cost to 5</t>
  </si>
  <si>
    <t>Damage bonus when getting hit increased to 12% from 8%, decreased maximum bonus to 60%</t>
  </si>
  <si>
    <t>-20% dodge from -10%</t>
  </si>
  <si>
    <t>block</t>
  </si>
  <si>
    <t>resistance reduction</t>
  </si>
  <si>
    <t>Perk</t>
  </si>
  <si>
    <t>Physical damage buff to 10-15% from 8-12%</t>
  </si>
  <si>
    <t>DMG mod to 1.5x from 0.8x, no longer has isolation multiplier 1.5x</t>
  </si>
  <si>
    <t>Dmg mod to 1.8x from 1.6x</t>
  </si>
  <si>
    <t>Decrease the damage penalty to -35%, decrease the amount of isolated hits needed to activate the perk to 2</t>
  </si>
  <si>
    <t>CriticalPower</t>
  </si>
  <si>
    <t>isolation</t>
  </si>
  <si>
    <t>Reworked to: a skill: Slow death, 1ap, deals base damage and inflicts 50 additional poison for 2 turns. 4 uses per turn</t>
  </si>
  <si>
    <t>Reworked to: Quickshot: 2 ap, 4 multihits
2 uses, inaccurate 2x, 1.15x damage modifier</t>
  </si>
  <si>
    <t>poison damage</t>
  </si>
  <si>
    <t>Replaced resistance debuff with -1 movement debuff, -1 use</t>
  </si>
  <si>
    <t xml:space="preserve"> +1 use  </t>
  </si>
  <si>
    <t>steel</t>
  </si>
  <si>
    <t>ranged damage</t>
  </si>
  <si>
    <t>Base</t>
  </si>
  <si>
    <t>Base momentum to 25 from 20</t>
  </si>
  <si>
    <t>base dmg mod to 1.35x, Increased isolation modifier to 1.5x</t>
  </si>
  <si>
    <t>Dmg mod to 1.45x from 1.35x</t>
  </si>
  <si>
    <t>Removed the +15% crit damage modifier</t>
  </si>
  <si>
    <t>added isolation modifier 1.35x</t>
  </si>
  <si>
    <t xml:space="preserve"> -1 skill range, now has armor piercing, damage mod to 1.65x</t>
  </si>
  <si>
    <t>damage mod to 1.15x, +1 use</t>
  </si>
  <si>
    <t>damage mod increased to 1.85x</t>
  </si>
  <si>
    <t>xp gain</t>
  </si>
  <si>
    <t>skill range</t>
  </si>
  <si>
    <t>Remove isolation multiplier, add 1.25x opportunist multiplier, -2 range, -1 use</t>
  </si>
  <si>
    <t>Effect changed to: -20/22/24/26/28/30 dodge, - 40-60 block, Purge all buffs, -2 range</t>
  </si>
  <si>
    <t>-2 range</t>
  </si>
  <si>
    <t>-2 range, +1 mana cost</t>
  </si>
  <si>
    <t>Remove the -10% reliability</t>
  </si>
  <si>
    <t>Switches with skill 2, Dmg mod to 0.8x, gains propagation x3, Range to 1-5</t>
  </si>
  <si>
    <t>switches places with skill 1, Dmg mod to 1.0x, no longer has opportunism multiplier</t>
  </si>
  <si>
    <t>DMG mod to 0.3x from 0.2x</t>
  </si>
  <si>
    <t>Reworked to: 2 uses, 1 ap 2 mana, 2 move points, damage mod: 1.25x, 1.5x isolation multiplier, 1.5x opportunism multiplier.</t>
  </si>
  <si>
    <t>Remove the -1 move speed penalty</t>
  </si>
  <si>
    <t>propagation bounces</t>
  </si>
  <si>
    <t>Reworked to: 2 uses per turn, 1 ap 2 mana, damage mod 1,15x, No longer deals damage on side tiles, the main tile now gets momentum 20% and no longer stuns</t>
  </si>
  <si>
    <t>Damage mod increased to 1.0x</t>
  </si>
  <si>
    <t xml:space="preserve">Increased fireblast damage from 82-130 to 225-225 and it scales with hero level BUT
- The base hp cost gets increased to 9, hp per point decreased to 1
- Using the fire blast sets heat to 0
- Decreased Cooldown per turn to 4
</t>
  </si>
  <si>
    <t>Reworked to: 1 ap non-multihit skill with 70% base stun chance. 5 uses</t>
  </si>
  <si>
    <t>New AOE, costs 2 mana, main damage modifier to 1.35x, Removed stun and added a 30/32/34/36/38/40% accuracy debuff on the main tile and 15/17/19/21/23/25 accuracy debuff on the secondary tile</t>
  </si>
  <si>
    <t>Damage mod to 1.5x, Costs 5 mana, main tiles also have a chance to stun for 60%</t>
  </si>
  <si>
    <t>Reworked to: Strong throw: After the hero Damages 4 enemies boomerang skills, for the next boomerang's skill, side tiles become main tiles, precision targeting gets 3 propagation</t>
  </si>
  <si>
    <t>Skill 2 AOE</t>
  </si>
  <si>
    <t>Now grants a 7%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</si>
  <si>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</si>
  <si>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</si>
  <si>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</si>
  <si>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</si>
  <si>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</si>
  <si>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</si>
  <si>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</si>
  <si>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2 uses, melee range, 1.2x damage mod, 1 ap 1 mana cost, refreshes 4 move points, debuffs accuracy by 10/11/12/13/14/15% </t>
  </si>
  <si>
    <t xml:space="preserve">Stun chance increased to 70% </t>
  </si>
  <si>
    <t>variants</t>
  </si>
  <si>
    <t>Skill 2 aoe</t>
  </si>
  <si>
    <t>-2 prop bounces</t>
  </si>
  <si>
    <t>DMG mod to 1.35x from 1.3x</t>
  </si>
  <si>
    <t>DMG mod to 1.6x from 1.4x, -1 prop bounce</t>
  </si>
  <si>
    <t>magic damage</t>
  </si>
  <si>
    <t>Base Health penalty</t>
  </si>
  <si>
    <t>Now also grants +12% poison damage for 1 turn</t>
  </si>
  <si>
    <t>Remove it</t>
  </si>
  <si>
    <t xml:space="preserve">Mana;Mana Regen
</t>
  </si>
  <si>
    <t>DMG mod to 1.1 from 1.2x</t>
  </si>
  <si>
    <t xml:space="preserve">Move Points;Dodge
</t>
  </si>
  <si>
    <t>Skill 2 (entangle)</t>
  </si>
  <si>
    <t>Skill 3 (acid spray)</t>
  </si>
  <si>
    <t>-1 mana cost. Effect changed to: -20/22/24/26/28/30 dodge, - 40-60 block, Purge all buffs</t>
  </si>
  <si>
    <t>Poison damage to 35 from 30</t>
  </si>
  <si>
    <t>Mana;Mana regen</t>
  </si>
  <si>
    <t xml:space="preserve">opportunism
</t>
  </si>
  <si>
    <t>opportunist multiplier decreased to 1.4x from 1.6x</t>
  </si>
  <si>
    <t>Increase damage mod from 1.25x to 1.7x</t>
  </si>
  <si>
    <t xml:space="preserve">Skill 2 </t>
  </si>
  <si>
    <t xml:space="preserve">Skill 3 </t>
  </si>
  <si>
    <t>No longer poisons the main tile, but has momentum 20</t>
  </si>
  <si>
    <t>Costs 2 ap 1 mana, dmg mod to 1.7 from 1.3, deals 0.3 damage on side tiles and applies 100% stun chance</t>
  </si>
  <si>
    <t>Now purges all removable statuses instead of just buffs</t>
  </si>
  <si>
    <t>Decrease the plague poison scaling from 3 +1 per 3 hero levels to 3 + 1 per 4 hero levels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</si>
</sst>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s>
  <fills count="7">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6" fontId="1" numFmtId="0" xfId="0" applyFill="1"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67422603-b88a-4a5f-b354-b75bad25a6c5}" providerId="google-sheets"/>
  <x18tc:person displayName="ellaris clavis" id="{bda2d9a7-6716-4ffc-9e5d-81316b203b1f}" providerId="google-sheets"/>
  <x18tc:person displayName="Abigail" id="{4875e49f-f8bb-4dc4-b1ac-be5b304bacf3}"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bda2d9a7-6716-4ffc-9e5d-81316b203b1f}" id="{78e3def7-355e-4bfc-b6b8-aa4cdade3ca6}" done="1">
    <x18tc:text xml:space="preserve">This feels like it makes the hammer a ranged weapon</x18tc:text>
  </x18tc:threadedComment>
  <x18tc:threadedComment ref="A18" dT="2026-01-18T16:37:24.00" personId="{67422603-b88a-4a5f-b354-b75bad25a6c5}" id="{fbd99348-cddb-4bb1-91f2-c75f9b8a212a}" parentId="{78e3def7-355e-4bfc-b6b8-aa4cdade3ca6}">
    <x18tc:text xml:space="preserve">Why? do you mean the +1 use on the skill 2?</x18tc:text>
  </x18tc:threadedComment>
  <x18tc:threadedComment ref="A18" dT="2026-01-18T17:38:03.00" personId="{bda2d9a7-6716-4ffc-9e5d-81316b203b1f}" id="{5f32e167-f9b6-45e5-8802-ee33ad0c12a2}" parentId="{78e3def7-355e-4bfc-b6b8-aa4cdade3ca6}">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67422603-b88a-4a5f-b354-b75bad25a6c5}" id="{9f667b9b-19d1-49b2-b476-58fce8ffdd29}" parentId="{78e3def7-355e-4bfc-b6b8-aa4cdade3ca6}">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bda2d9a7-6716-4ffc-9e5d-81316b203b1f}" id="{bdecaa29-2798-42c7-9573-b03ab8b6ae75}" done="1">
    <x18tc:text xml:space="preserve">not sure if this is enough to make it feel good?
at least make skill 1 able to target ground</x18tc:text>
  </x18tc:threadedComment>
  <x18tc:threadedComment ref="D18" dT="2026-01-18T16:39:59.00" personId="{67422603-b88a-4a5f-b354-b75bad25a6c5}" id="{e8ac2956-188a-4c9b-979e-7f068ecd64ab}" parentId="{bdecaa29-2798-42c7-9573-b03ab8b6ae75}">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4875e49f-f8bb-4dc4-b1ac-be5b304bacf3}" id="{b42b6d4c-5778-445a-89de-66c516663f3f}" parentId="{bdecaa29-2798-42c7-9573-b03ab8b6ae75}">
    <x18tc:text xml:space="preserve">the movement cost on skill 4 is my biggest criticism of 2h sword, so this is a change I agree with</x18tc:text>
  </x18tc:threadedComment>
  <x18tc:threadedComment ref="D18" dT="2026-01-18T17:36:04.00" personId="{bda2d9a7-6716-4ffc-9e5d-81316b203b1f}" id="{2cbfe782-45a1-45e2-a4f1-8ba64736dc84}" parentId="{bdecaa29-2798-42c7-9573-b03ab8b6ae75}">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4875e49f-f8bb-4dc4-b1ac-be5b304bacf3}" id="{8ca1dbab-146a-4b24-a626-96870c29b03c}" parentId="{bdecaa29-2798-42c7-9573-b03ab8b6ae75}">
    <x18tc:text xml:space="preserve">Skill 1 doesn't change the damage of skill 4? And why would killing with it matter?</x18tc:text>
  </x18tc:threadedComment>
  <x18tc:threadedComment ref="D18" dT="2026-01-18T18:41:53.00" personId="{bda2d9a7-6716-4ffc-9e5d-81316b203b1f}" id="{46934a88-7a47-42c2-8d84-e58b7e954ad7}" parentId="{bdecaa29-2798-42c7-9573-b03ab8b6ae75}">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4875e49f-f8bb-4dc4-b1ac-be5b304bacf3}" id="{134871d0-e271-4981-a425-1919e95a3a00}" parentId="{bdecaa29-2798-42c7-9573-b03ab8b6ae75}">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4875e49f-f8bb-4dc4-b1ac-be5b304bacf3}" id="{b1af1b53-82f2-4920-aba1-ce91ee375e79}" done="1">
    <x18tc:text xml:space="preserve">I'd also make it apply the debuff to the main target tile</x18tc:text>
  </x18tc:threadedComment>
  <x18tc:threadedComment ref="B15" dT="2026-01-18T17:30:14.00" personId="{67422603-b88a-4a5f-b354-b75bad25a6c5}" id="{0b3d5abb-ccef-4972-9b0b-f6a68f83f84f}" parentId="{b1af1b53-82f2-4920-aba1-ce91ee375e79}">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bda2d9a7-6716-4ffc-9e5d-81316b203b1f}" id="{6830d56b-b477-48b9-aa46-5c3c16f928b8}"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67422603-b88a-4a5f-b354-b75bad25a6c5}" id="{6f0ccc44-1cd4-4aab-a974-ce2f81ae02f0}" parentId="{6830d56b-b477-48b9-aa46-5c3c16f928b8}">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bda2d9a7-6716-4ffc-9e5d-81316b203b1f}" id="{4e76d9bf-abab-4fb0-a826-07f93a9ea17f}" parentId="{6830d56b-b477-48b9-aa46-5c3c16f928b8}">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67422603-b88a-4a5f-b354-b75bad25a6c5}" id="{df24de63-b460-4f86-abb9-589bf18ebd74}" parentId="{6830d56b-b477-48b9-aa46-5c3c16f928b8}">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bda2d9a7-6716-4ffc-9e5d-81316b203b1f}" id="{d025326f-e30b-4f1e-a04d-39dc6fb783e6}" done="1">
    <x18tc:text xml:space="preserve">I'm not sure about the -dodge if it's really necessary.
would be possible to increase the skills damage by block amount?</x18tc:text>
  </x18tc:threadedComment>
  <x18tc:threadedComment ref="B18" dT="2026-01-18T15:32:34.00" personId="{67422603-b88a-4a5f-b354-b75bad25a6c5}" id="{e178794a-89dd-4c2d-9371-d0cfc84c7e8f}" parentId="{d025326f-e30b-4f1e-a04d-39dc6fb783e6}">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bda2d9a7-6716-4ffc-9e5d-81316b203b1f}" id="{8b97f525-379f-4379-a93c-f17fd5543f7a}" done="1">
    <x18tc:text xml:space="preserve">could make the steel grant block and this one give movement, since it's light and you like to position yourself with it</x18tc:text>
  </x18tc:threadedComment>
  <x18tc:threadedComment ref="C22" dT="2026-01-18T15:33:33.00" personId="{67422603-b88a-4a5f-b354-b75bad25a6c5}" id="{fc950d0d-4756-423b-965a-f73704311bef}" parentId="{8b97f525-379f-4379-a93c-f17fd5543f7a}">
    <x18tc:text xml:space="preserve">That's an option, although few weapons make sense with +armor, so i wanted war shield to have it.</x18tc:text>
  </x18tc:threadedComment>
  <x18tc:threadedComment ref="C22" dT="2026-01-18T17:47:05.00" personId="{bda2d9a7-6716-4ffc-9e5d-81316b203b1f}" id="{fd58e99b-3ab6-4bdc-ab4d-6797a10ddc90}" parentId="{8b97f525-379f-4379-a93c-f17fd5543f7a}">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67422603-b88a-4a5f-b354-b75bad25a6c5}" id="{158255f6-901d-441e-ba11-95e8fa51e430}" parentId="{8b97f525-379f-4379-a93c-f17fd5543f7a}">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bda2d9a7-6716-4ffc-9e5d-81316b203b1f}" id="{d1a910bb-1f51-4123-87b5-7519eb321b2d}" done="1">
    <x18tc:text xml:space="preserve">I don't think dealing damage and applying poison at the same time makes too much sense</x18tc:text>
  </x18tc:threadedComment>
  <x18tc:threadedComment ref="A17" dT="2026-01-18T16:50:22.00" personId="{67422603-b88a-4a5f-b354-b75bad25a6c5}" id="{404a6e51-44e4-462a-8e99-40b4f04bf036}" parentId="{d1a910bb-1f51-4123-87b5-7519eb321b2d}">
    <x18tc:text xml:space="preserve">Why not? Orb does it, Sacred flower does it, bee sting does it.</x18tc:text>
  </x18tc:threadedComment>
  <x18tc:threadedComment ref="A17" dT="2026-01-18T17:08:00.00" personId="{67422603-b88a-4a5f-b354-b75bad25a6c5}" id="{2c8b57b0-d842-409f-b0fd-50cda02f7bd5}" parentId="{d1a910bb-1f51-4123-87b5-7519eb321b2d}">
    <x18tc:text xml:space="preserve">Also dagger skill 3 does it</x18tc:text>
  </x18tc:threadedComment>
  <x18tc:threadedComment ref="A17" dT="2026-01-18T17:10:54.00" personId="{4875e49f-f8bb-4dc4-b1ac-be5b304bacf3}" id="{1d3c6ca7-9a96-439c-a402-f628d28d7777}" parentId="{d1a910bb-1f51-4123-87b5-7519eb321b2d}">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67422603-b88a-4a5f-b354-b75bad25a6c5}" id="{c49e554f-15f9-48f5-b49d-d4dcb474e0d7}" parentId="{d1a910bb-1f51-4123-87b5-7519eb321b2d}">
    <x18tc:text xml:space="preserve">I think the skill will remain fine, keeping it unchanged for now.</x18tc:text>
  </x18tc:threadedComment>
  <x18tc:threadedComment ref="B17" dT="2026-01-18T16:06:10.00" personId="{bda2d9a7-6716-4ffc-9e5d-81316b203b1f}" id="{557ad0db-984e-4cd9-94f9-4dc36ae73331}" done="1">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67422603-b88a-4a5f-b354-b75bad25a6c5}" id="{a5d0a04a-2368-4b25-ac4f-9bf7111d4557}" parentId="{557ad0db-984e-4cd9-94f9-4dc36ae73331}">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4875e49f-f8bb-4dc4-b1ac-be5b304bacf3}" id="{9f967317-2746-4644-b6a9-8b0456885972}" parentId="{557ad0db-984e-4cd9-94f9-4dc36ae73331}">
    <x18tc:text xml:space="preserve">I think manaless but no opp would be better, it feels weird for a non magic weapon to use mana on skill 2
but yeah, 2 uses is the important balancing aspect</x18tc:text>
  </x18tc:threadedComment>
  <x18tc:threadedComment ref="B17" dT="2026-01-18T17:24:17.00" personId="{bda2d9a7-6716-4ffc-9e5d-81316b203b1f}" id="{46c25fc4-d290-43fa-beeb-639dc98022e7}" parentId="{557ad0db-984e-4cd9-94f9-4dc36ae73331}">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67422603-b88a-4a5f-b354-b75bad25a6c5}" id="{0bc26c2e-7dc4-47b1-a2aa-96074b688370}" parentId="{557ad0db-984e-4cd9-94f9-4dc36ae73331}">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bda2d9a7-6716-4ffc-9e5d-81316b203b1f}" id="{79e3fa3a-299d-4f62-9632-3d59d3aafbe9}" done="1">
    <x18tc:text xml:space="preserve">I kinda liked the old one, not a fan of these changes</x18tc:text>
  </x18tc:threadedComment>
  <x18tc:threadedComment ref="A18" dT="2026-01-18T15:30:26.00" personId="{67422603-b88a-4a5f-b354-b75bad25a6c5}" id="{270ad742-da9a-41e3-8b19-179cf88f3b22}" parentId="{79e3fa3a-299d-4f62-9632-3d59d3aafbe9}">
    <x18tc:text xml:space="preserve">I can revert the skill 2 and 4 changes but I do think the -res debuff should go to the hammer, not crossbow</x18tc:text>
  </x18tc:threadedComment>
  <x18tc:threadedComment ref="A18" dT="2026-01-18T17:07:25.00" personId="{4875e49f-f8bb-4dc4-b1ac-be5b304bacf3}" id="{1b864d2f-c456-4815-b9dd-361f1c56446e}" parentId="{79e3fa3a-299d-4f62-9632-3d59d3aafbe9}">
    <x18tc:text xml:space="preserve">I almost think that crossbow just doesn't need any debuffs. Debuffs and using opportunism doesn't need to be something that every single weapon can do?</x18tc:text>
  </x18tc:threadedComment>
  <x18tc:threadedComment ref="A18" dT="2026-01-18T17:27:25.00" personId="{67422603-b88a-4a5f-b354-b75bad25a6c5}" id="{5ad5912a-9868-4719-9644-3c8df2a0e81c}" parentId="{79e3fa3a-299d-4f62-9632-3d59d3aafbe9}">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bda2d9a7-6716-4ffc-9e5d-81316b203b1f}" id="{f109f54f-e122-4933-ad0f-08ccceedc855}" parentId="{79e3fa3a-299d-4f62-9632-3d59d3aafbe9}">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67422603-b88a-4a5f-b354-b75bad25a6c5}" id="{28a65cd5-81e2-4681-b075-9b54720a28c2}" parentId="{79e3fa3a-299d-4f62-9632-3d59d3aafbe9}">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bda2d9a7-6716-4ffc-9e5d-81316b203b1f}" id="{40e44944-c35d-4dcd-8580-3898bd8c0875}" done="1">
    <x18tc:text xml:space="preserve">I feel like it might need more damage, unless base damage already covers that, but pistol always felt weak for me</x18tc:text>
  </x18tc:threadedComment>
  <x18tc:threadedComment ref="C16" dT="2026-01-18T16:49:52.00" personId="{67422603-b88a-4a5f-b354-b75bad25a6c5}" id="{4e7a8e51-68d1-471a-91ef-56c6a6c8ee34}" parentId="{40e44944-c35d-4dcd-8580-3898bd8c0875}">
    <x18tc:text xml:space="preserve">I think the base damage covers that well enough. It's one of the better skill 3s anyway.</x18tc:text>
  </x18tc:threadedComment>
  <x18tc:threadedComment ref="C16" dT="2026-01-18T17:09:06.00" personId="{4875e49f-f8bb-4dc4-b1ac-be5b304bacf3}" id="{912151c0-0d30-4916-8b95-cfa87f72a5d0}" parentId="{40e44944-c35d-4dcd-8580-3898bd8c0875}">
    <x18tc:text xml:space="preserve">grape shot is a very good skill, a base damage increase would improve it early and then late game it becomes great with proximity shot</x18tc:text>
  </x18tc:threadedComment>
  <x18tc:threadedComment ref="C16" dT="2026-01-18T17:26:05.00" personId="{bda2d9a7-6716-4ffc-9e5d-81316b203b1f}" id="{9a695680-6a65-4202-92d4-9e820a1d9dcb}" parentId="{40e44944-c35d-4dcd-8580-3898bd8c0875}">
    <x18tc:text xml:space="preserve">yeah, I don't play with many "ranged" perks, since they tend to be ranged damage specific and kinda weird overall, the other perks are definitely more universal</x18tc:text>
  </x18tc:threadedComment>
  <x18tc:threadedComment ref="C16" dT="2026-01-18T18:06:28.00" personId="{4875e49f-f8bb-4dc4-b1ac-be5b304bacf3}" id="{2e948070-e362-42e5-84e6-9421cca74ade}" parentId="{40e44944-c35d-4dcd-8580-3898bd8c0875}">
    <x18tc:text xml:space="preserve">Proximity shot is the only one that's ranged damage specific, and it's a very very good perk</x18tc:text>
  </x18tc:threadedComment>
  <x18tc:threadedComment ref="C16" dT="2026-01-18T18:37:49.00" personId="{bda2d9a7-6716-4ffc-9e5d-81316b203b1f}" id="{0a6c8b0e-80b9-4a2b-9622-770633e4d73b}" parentId="{40e44944-c35d-4dcd-8580-3898bd8c0875}">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bda2d9a7-6716-4ffc-9e5d-81316b203b1f}" id="{9645f1ec-2bdf-4530-98ac-b92f04caf4de}" done="1">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67422603-b88a-4a5f-b354-b75bad25a6c5}" id="{0ede6b02-ffe9-4243-af2e-894947262b63}" parentId="{9645f1ec-2bdf-4530-98ac-b92f04caf4de}">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bda2d9a7-6716-4ffc-9e5d-81316b203b1f}" id="{3de79b19-20d2-4c46-b13e-963b6ddaa634}" parentId="{9645f1ec-2bdf-4530-98ac-b92f04caf4de}">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67422603-b88a-4a5f-b354-b75bad25a6c5}" id="{07e3ac76-deeb-4de5-aaf9-091516a12317}" parentId="{9645f1ec-2bdf-4530-98ac-b92f04caf4de}">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bda2d9a7-6716-4ffc-9e5d-81316b203b1f}" id="{4c88eb0e-574a-46bf-85b7-930c7592f0ef}" done="1">
    <x18tc:text xml:space="preserve">I think it could reduce armor or resistance as well as move instead of extra damage</x18tc:text>
  </x18tc:threadedComment>
  <x18tc:threadedComment ref="C16" dT="2026-01-18T16:46:04.00" personId="{67422603-b88a-4a5f-b354-b75bad25a6c5}" id="{0e2b5100-8ac4-4381-8cec-227708637a60}" parentId="{4c88eb0e-574a-46bf-85b7-930c7592f0ef}">
    <x18tc:text xml:space="preserve">This is only to compensate for the damage nerf really, I think the skill itself is fine. 10 targets is a lot.</x18tc:text>
  </x18tc:threadedComment>
  <x18tc:threadedComment ref="D16" dT="2026-01-18T16:00:36.00" personId="{bda2d9a7-6716-4ffc-9e5d-81316b203b1f}" id="{2c583599-c312-4eb8-95fe-b17fc4d6c651}" done="1">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67422603-b88a-4a5f-b354-b75bad25a6c5}" id="{4dece024-4207-4591-b4b3-b6d25164ae80}" parentId="{2c583599-c312-4eb8-95fe-b17fc4d6c651}">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bda2d9a7-6716-4ffc-9e5d-81316b203b1f}" id="{38b63719-bc02-4d62-b2d3-fbc3e9a39232}" parentId="{2c583599-c312-4eb8-95fe-b17fc4d6c651}">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67422603-b88a-4a5f-b354-b75bad25a6c5}" id="{bdd9ca27-e3cf-4d48-8607-25a856e9fbab}" parentId="{2c583599-c312-4eb8-95fe-b17fc4d6c651}">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bda2d9a7-6716-4ffc-9e5d-81316b203b1f}" id="{3a507f89-a6d5-4a67-9e44-4348a2b8a65d}"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67422603-b88a-4a5f-b354-b75bad25a6c5}" id="{7c988fb1-d07f-4750-9968-90e121f8d577}" parentId="{3a507f89-a6d5-4a67-9e44-4348a2b8a65d}">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bda2d9a7-6716-4ffc-9e5d-81316b203b1f}" id="{5a2d9b9b-8d56-453d-9a8c-03061432d06c}" done="1">
    <x18tc:text xml:space="preserve">I think the opportunism fits here</x18tc:text>
  </x18tc:threadedComment>
  <x18tc:threadedComment ref="B16" dT="2026-01-18T16:45:26.00" personId="{67422603-b88a-4a5f-b354-b75bad25a6c5}" id="{f96e6635-d2f5-4b06-8ac1-2496c9ae8a21}" parentId="{5a2d9b9b-8d56-453d-9a8c-03061432d06c}">
    <x18tc:text xml:space="preserve">Maybe, but i put opportunism on assassinate instead. This is basically a strict buff, since 0.7 * 1.25 = 0.875</x18tc:text>
  </x18tc:threadedComment>
  <x18tc:threadedComment ref="B16" dT="2026-01-18T18:40:17.00" personId="{bda2d9a7-6716-4ffc-9e5d-81316b203b1f}" id="{782ccdb9-88cc-4d8d-bb32-0597c9724a4f}" parentId="{5a2d9b9b-8d56-453d-9a8c-03061432d06c}">
    <x18tc:text xml:space="preserve">it can't have 2 sources of opportunitism like power staff?</x18tc:text>
  </x18tc:threadedComment>
  <x18tc:threadedComment ref="B16" dT="2026-01-18T19:25:30.00" personId="{67422603-b88a-4a5f-b354-b75bad25a6c5}" id="{676df8d5-7bf0-4dd4-9d1b-99fb64df2d3f}" parentId="{5a2d9b9b-8d56-453d-9a8c-03061432d06c}">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bda2d9a7-6716-4ffc-9e5d-81316b203b1f}" id="{60ecf472-c0e8-438f-9f75-74df273de9ef}"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67422603-b88a-4a5f-b354-b75bad25a6c5}" id="{882c2e21-cb34-4516-9944-a328f223659f}" parentId="{60ecf472-c0e8-438f-9f75-74df273de9ef}">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bda2d9a7-6716-4ffc-9e5d-81316b203b1f}" id="{469e5764-6d81-4665-b340-e7273b0c4d42}" parentId="{60ecf472-c0e8-438f-9f75-74df273de9ef}">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67422603-b88a-4a5f-b354-b75bad25a6c5}" id="{150aac07-8484-479b-b38b-a92d5dc614c6}" parentId="{60ecf472-c0e8-438f-9f75-74df273de9ef}">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bda2d9a7-6716-4ffc-9e5d-81316b203b1f}" id="{551d92a9-a8fa-48de-9d23-044afac49249}" done="1">
    <x18tc:text xml:space="preserve">I would just make the buff skill have higher range, increase momentum and scale movement 2/3/4/5</x18tc:text>
  </x18tc:threadedComment>
  <x18tc:threadedComment ref="B18" dT="2026-01-18T16:56:30.00" personId="{67422603-b88a-4a5f-b354-b75bad25a6c5}" id="{9b460567-f834-4284-a977-b11d70909d77}" parentId="{551d92a9-a8fa-48de-9d23-044afac49249}">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bda2d9a7-6716-4ffc-9e5d-81316b203b1f}" id="{590e0a43-4c44-404d-baed-7e4315842424}" done="1">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67422603-b88a-4a5f-b354-b75bad25a6c5}" id="{e9e389b6-8659-4552-8477-589574975672}" parentId="{590e0a43-4c44-404d-baed-7e4315842424}">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bda2d9a7-6716-4ffc-9e5d-81316b203b1f}" id="{700a7d0c-7f37-41e5-92a2-e5da267e7637}" parentId="{590e0a43-4c44-404d-baed-7e4315842424}">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67422603-b88a-4a5f-b354-b75bad25a6c5}" id="{bf4b6bf1-f068-47cf-8b11-1f6a339d2971}" parentId="{590e0a43-4c44-404d-baed-7e4315842424}">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5.0</v>
      </c>
      <c r="D9" s="4">
        <v>5.0</v>
      </c>
      <c r="E9" s="4">
        <v>5.0</v>
      </c>
      <c r="F9" s="4">
        <v>7.0</v>
      </c>
      <c r="G9" s="4" t="s">
        <v>19</v>
      </c>
      <c r="H9" s="4" t="s">
        <v>20</v>
      </c>
      <c r="I9" s="4">
        <v>15.0</v>
      </c>
      <c r="J9" s="4">
        <v>6.0</v>
      </c>
      <c r="K9" s="4">
        <v>7.0</v>
      </c>
      <c r="L9" s="4">
        <v>7.0</v>
      </c>
      <c r="M9" s="4">
        <v>6.0</v>
      </c>
      <c r="N9" s="4">
        <v>7.0</v>
      </c>
      <c r="O9" s="4">
        <v>6.0</v>
      </c>
      <c r="P9" s="4">
        <v>15.0</v>
      </c>
      <c r="Q9" s="4">
        <v>15.0</v>
      </c>
      <c r="R9" s="4">
        <v>15.0</v>
      </c>
    </row>
    <row r="10" ht="22.5" customHeight="1">
      <c r="A10" s="4">
        <v>1.0</v>
      </c>
      <c r="B10" s="4">
        <v>6.0</v>
      </c>
      <c r="C10" s="4">
        <v>6.0</v>
      </c>
      <c r="D10" s="4">
        <v>6.0</v>
      </c>
      <c r="E10" s="4">
        <v>6.0</v>
      </c>
      <c r="F10" s="4">
        <v>8.0</v>
      </c>
      <c r="G10" s="4" t="s">
        <v>21</v>
      </c>
      <c r="H10" s="4" t="s">
        <v>22</v>
      </c>
      <c r="I10" s="4">
        <v>18.0</v>
      </c>
      <c r="J10" s="4">
        <v>7.0</v>
      </c>
      <c r="K10" s="4">
        <v>8.0</v>
      </c>
      <c r="L10" s="4">
        <v>8.0</v>
      </c>
      <c r="M10" s="4">
        <v>7.0</v>
      </c>
      <c r="N10" s="4">
        <v>8.0</v>
      </c>
      <c r="O10" s="4">
        <v>7.0</v>
      </c>
      <c r="P10" s="4">
        <v>18.0</v>
      </c>
      <c r="Q10" s="4">
        <v>18.0</v>
      </c>
      <c r="R10" s="4">
        <v>18.0</v>
      </c>
    </row>
    <row r="11" ht="22.5" customHeight="1">
      <c r="A11" s="4">
        <v>2.0</v>
      </c>
      <c r="B11" s="4">
        <v>7.0</v>
      </c>
      <c r="C11" s="4">
        <v>7.0</v>
      </c>
      <c r="D11" s="4">
        <v>7.0</v>
      </c>
      <c r="E11" s="4">
        <v>7.0</v>
      </c>
      <c r="F11" s="4">
        <v>9.0</v>
      </c>
      <c r="G11" s="4" t="s">
        <v>23</v>
      </c>
      <c r="H11" s="4" t="s">
        <v>24</v>
      </c>
      <c r="I11" s="4">
        <v>21.0</v>
      </c>
      <c r="J11" s="4">
        <v>8.0</v>
      </c>
      <c r="K11" s="4">
        <v>9.0</v>
      </c>
      <c r="L11" s="4">
        <v>9.0</v>
      </c>
      <c r="M11" s="4">
        <v>8.0</v>
      </c>
      <c r="N11" s="4">
        <v>9.0</v>
      </c>
      <c r="O11" s="4">
        <v>8.0</v>
      </c>
      <c r="P11" s="4">
        <v>21.0</v>
      </c>
      <c r="Q11" s="4">
        <v>21.0</v>
      </c>
      <c r="R11" s="4">
        <v>21.0</v>
      </c>
    </row>
    <row r="12" ht="22.5" customHeight="1">
      <c r="A12" s="4">
        <v>3.0</v>
      </c>
      <c r="B12" s="4">
        <v>8.0</v>
      </c>
      <c r="C12" s="4">
        <v>8.0</v>
      </c>
      <c r="D12" s="4">
        <v>8.0</v>
      </c>
      <c r="E12" s="4">
        <v>8.0</v>
      </c>
      <c r="F12" s="4">
        <v>11.0</v>
      </c>
      <c r="G12" s="4" t="s">
        <v>25</v>
      </c>
      <c r="H12" s="4" t="s">
        <v>26</v>
      </c>
      <c r="I12" s="4">
        <v>24.0</v>
      </c>
      <c r="J12" s="4">
        <v>9.0</v>
      </c>
      <c r="K12" s="4">
        <v>11.0</v>
      </c>
      <c r="L12" s="4">
        <v>11.0</v>
      </c>
      <c r="M12" s="4">
        <v>9.0</v>
      </c>
      <c r="N12" s="4">
        <v>11.0</v>
      </c>
      <c r="O12" s="4">
        <v>9.0</v>
      </c>
      <c r="P12" s="4">
        <v>24.0</v>
      </c>
      <c r="Q12" s="4">
        <v>24.0</v>
      </c>
      <c r="R12" s="4">
        <v>24.0</v>
      </c>
    </row>
    <row r="13" ht="22.5" customHeight="1">
      <c r="A13" s="4">
        <v>4.0</v>
      </c>
      <c r="B13" s="4">
        <v>9.0</v>
      </c>
      <c r="C13" s="4">
        <v>9.0</v>
      </c>
      <c r="D13" s="4">
        <v>9.0</v>
      </c>
      <c r="E13" s="4">
        <v>9.0</v>
      </c>
      <c r="F13" s="4">
        <v>13.0</v>
      </c>
      <c r="G13" s="4" t="s">
        <v>27</v>
      </c>
      <c r="H13" s="4" t="s">
        <v>28</v>
      </c>
      <c r="I13" s="4">
        <v>27.0</v>
      </c>
      <c r="J13" s="4">
        <v>10.0</v>
      </c>
      <c r="K13" s="4">
        <v>13.0</v>
      </c>
      <c r="L13" s="4">
        <v>13.0</v>
      </c>
      <c r="M13" s="4">
        <v>10.0</v>
      </c>
      <c r="N13" s="4">
        <v>13.0</v>
      </c>
      <c r="O13" s="4">
        <v>10.0</v>
      </c>
      <c r="P13" s="4">
        <v>27.0</v>
      </c>
      <c r="Q13" s="4">
        <v>27.0</v>
      </c>
      <c r="R13" s="4">
        <v>27.0</v>
      </c>
    </row>
    <row r="14" ht="22.5" customHeight="1">
      <c r="A14" s="4">
        <v>5.0</v>
      </c>
      <c r="B14" s="4">
        <v>10.0</v>
      </c>
      <c r="C14" s="4">
        <v>10.0</v>
      </c>
      <c r="D14" s="4">
        <v>10.0</v>
      </c>
      <c r="E14" s="4">
        <v>10.0</v>
      </c>
      <c r="F14" s="4">
        <v>15.0</v>
      </c>
      <c r="G14" s="4" t="s">
        <v>29</v>
      </c>
      <c r="H14" s="4" t="s">
        <v>30</v>
      </c>
      <c r="I14" s="4">
        <v>30.0</v>
      </c>
      <c r="J14" s="4">
        <v>12.0</v>
      </c>
      <c r="K14" s="4">
        <v>15.0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12.0</v>
      </c>
      <c r="L9" s="4" t="s">
        <v>27</v>
      </c>
      <c r="M9" s="4" t="s">
        <v>39</v>
      </c>
      <c r="N9" s="4">
        <v>25.0</v>
      </c>
      <c r="O9" s="4">
        <v>10.0</v>
      </c>
      <c r="P9" s="4">
        <v>12.0</v>
      </c>
      <c r="Q9" s="4">
        <v>11.0</v>
      </c>
      <c r="R9" s="4">
        <v>9.0</v>
      </c>
      <c r="S9" s="4">
        <v>11.0</v>
      </c>
      <c r="T9" s="4">
        <v>9.0</v>
      </c>
      <c r="U9" s="4">
        <v>25.0</v>
      </c>
      <c r="V9" s="4">
        <v>25.0</v>
      </c>
      <c r="W9" s="4">
        <v>25.0</v>
      </c>
    </row>
    <row r="10" ht="22.5" customHeight="1">
      <c r="A10" s="4">
        <v>1.0</v>
      </c>
      <c r="B10" s="4">
        <v>1.0</v>
      </c>
      <c r="C10" s="4">
        <v>4.0</v>
      </c>
      <c r="D10" s="4" t="s">
        <v>40</v>
      </c>
      <c r="E10" s="4">
        <v>1.0</v>
      </c>
      <c r="F10" s="4" t="s">
        <v>41</v>
      </c>
      <c r="G10" s="4">
        <v>9.0</v>
      </c>
      <c r="H10" s="4">
        <v>9.0</v>
      </c>
      <c r="I10" s="4">
        <v>9.0</v>
      </c>
      <c r="J10" s="4">
        <v>9.0</v>
      </c>
      <c r="K10" s="4">
        <v>14.0</v>
      </c>
      <c r="L10" s="4" t="s">
        <v>29</v>
      </c>
      <c r="M10" s="4" t="s">
        <v>42</v>
      </c>
      <c r="N10" s="4">
        <v>30.0</v>
      </c>
      <c r="O10" s="4">
        <v>12.0</v>
      </c>
      <c r="P10" s="4">
        <v>14.0</v>
      </c>
      <c r="Q10" s="4">
        <v>13.0</v>
      </c>
      <c r="R10" s="4">
        <v>10.0</v>
      </c>
      <c r="S10" s="4">
        <v>13.0</v>
      </c>
      <c r="T10" s="4">
        <v>10.0</v>
      </c>
      <c r="U10" s="4">
        <v>30.0</v>
      </c>
      <c r="V10" s="4">
        <v>30.0</v>
      </c>
      <c r="W10" s="4">
        <v>30.0</v>
      </c>
    </row>
    <row r="11" ht="22.5" customHeight="1">
      <c r="A11" s="4">
        <v>2.0</v>
      </c>
      <c r="B11" s="4">
        <v>1.0</v>
      </c>
      <c r="C11" s="4">
        <v>5.0</v>
      </c>
      <c r="D11" s="4" t="s">
        <v>43</v>
      </c>
      <c r="E11" s="4">
        <v>1.0</v>
      </c>
      <c r="F11" s="4" t="s">
        <v>44</v>
      </c>
      <c r="G11" s="4">
        <v>10.0</v>
      </c>
      <c r="H11" s="4">
        <v>10.0</v>
      </c>
      <c r="I11" s="4">
        <v>10.0</v>
      </c>
      <c r="J11" s="4">
        <v>10.0</v>
      </c>
      <c r="K11" s="4">
        <v>16.0</v>
      </c>
      <c r="L11" s="4" t="s">
        <v>45</v>
      </c>
      <c r="M11" s="4" t="s">
        <v>46</v>
      </c>
      <c r="N11" s="4">
        <v>35.0</v>
      </c>
      <c r="O11" s="4">
        <v>14.0</v>
      </c>
      <c r="P11" s="4">
        <v>16.0</v>
      </c>
      <c r="Q11" s="4">
        <v>15.0</v>
      </c>
      <c r="R11" s="4">
        <v>12.0</v>
      </c>
      <c r="S11" s="4">
        <v>15.0</v>
      </c>
      <c r="T11" s="4">
        <v>12.0</v>
      </c>
      <c r="U11" s="4">
        <v>35.0</v>
      </c>
      <c r="V11" s="4">
        <v>35.0</v>
      </c>
      <c r="W11" s="4">
        <v>35.0</v>
      </c>
    </row>
    <row r="12" ht="22.5" customHeight="1">
      <c r="A12" s="4">
        <v>3.0</v>
      </c>
      <c r="B12" s="4">
        <v>2.0</v>
      </c>
      <c r="C12" s="4">
        <v>6.0</v>
      </c>
      <c r="D12" s="4" t="s">
        <v>47</v>
      </c>
      <c r="E12" s="4">
        <v>2.0</v>
      </c>
      <c r="F12" s="4" t="s">
        <v>48</v>
      </c>
      <c r="G12" s="4">
        <v>12.0</v>
      </c>
      <c r="H12" s="4">
        <v>12.0</v>
      </c>
      <c r="I12" s="4">
        <v>12.0</v>
      </c>
      <c r="J12" s="4">
        <v>12.0</v>
      </c>
      <c r="K12" s="4">
        <v>18.0</v>
      </c>
      <c r="L12" s="4" t="s">
        <v>49</v>
      </c>
      <c r="M12" s="4" t="s">
        <v>50</v>
      </c>
      <c r="N12" s="4">
        <v>40.0</v>
      </c>
      <c r="O12" s="4">
        <v>16.0</v>
      </c>
      <c r="P12" s="4">
        <v>18.0</v>
      </c>
      <c r="Q12" s="4">
        <v>17.0</v>
      </c>
      <c r="R12" s="4">
        <v>14.0</v>
      </c>
      <c r="S12" s="4">
        <v>17.0</v>
      </c>
      <c r="T12" s="4">
        <v>14.0</v>
      </c>
      <c r="U12" s="4">
        <v>40.0</v>
      </c>
      <c r="V12" s="4">
        <v>40.0</v>
      </c>
      <c r="W12" s="4">
        <v>40.0</v>
      </c>
    </row>
    <row r="13" ht="22.5" customHeight="1">
      <c r="A13" s="4">
        <v>4.0</v>
      </c>
      <c r="B13" s="4">
        <v>2.0</v>
      </c>
      <c r="C13" s="4">
        <v>7.0</v>
      </c>
      <c r="D13" s="4" t="s">
        <v>51</v>
      </c>
      <c r="E13" s="4">
        <v>2.0</v>
      </c>
      <c r="F13" s="4" t="s">
        <v>52</v>
      </c>
      <c r="G13" s="4">
        <v>14.0</v>
      </c>
      <c r="H13" s="4">
        <v>14.0</v>
      </c>
      <c r="I13" s="4">
        <v>14.0</v>
      </c>
      <c r="J13" s="4">
        <v>14.0</v>
      </c>
      <c r="K13" s="4">
        <v>21.0</v>
      </c>
      <c r="L13" s="4" t="s">
        <v>53</v>
      </c>
      <c r="M13" s="4" t="s">
        <v>54</v>
      </c>
      <c r="N13" s="4">
        <v>45.0</v>
      </c>
      <c r="O13" s="4">
        <v>18.0</v>
      </c>
      <c r="P13" s="4">
        <v>21.0</v>
      </c>
      <c r="Q13" s="4">
        <v>19.0</v>
      </c>
      <c r="R13" s="4">
        <v>16.0</v>
      </c>
      <c r="S13" s="4">
        <v>19.0</v>
      </c>
      <c r="T13" s="4">
        <v>16.0</v>
      </c>
      <c r="U13" s="4">
        <v>45.0</v>
      </c>
      <c r="V13" s="4">
        <v>45.0</v>
      </c>
      <c r="W13" s="4">
        <v>45.0</v>
      </c>
    </row>
    <row r="14" ht="22.5" customHeight="1">
      <c r="A14" s="4">
        <v>5.0</v>
      </c>
      <c r="B14" s="4">
        <v>2.0</v>
      </c>
      <c r="C14" s="4">
        <v>8.0</v>
      </c>
      <c r="D14" s="4" t="s">
        <v>55</v>
      </c>
      <c r="E14" s="4">
        <v>2.0</v>
      </c>
      <c r="F14" s="4" t="s">
        <v>56</v>
      </c>
      <c r="G14" s="4">
        <v>16.0</v>
      </c>
      <c r="H14" s="4">
        <v>16.0</v>
      </c>
      <c r="I14" s="4">
        <v>16.0</v>
      </c>
      <c r="J14" s="4">
        <v>16.0</v>
      </c>
      <c r="K14" s="4">
        <v>24.0</v>
      </c>
      <c r="L14" s="4" t="s">
        <v>57</v>
      </c>
      <c r="M14" s="4" t="s">
        <v>58</v>
      </c>
      <c r="N14" s="4">
        <v>50.0</v>
      </c>
      <c r="O14" s="4">
        <v>20.0</v>
      </c>
      <c r="P14" s="4">
        <v>24.0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68</v>
      </c>
      <c r="B15" s="7"/>
      <c r="C15" s="8"/>
      <c r="K15" s="13"/>
    </row>
    <row r="16">
      <c r="A16" s="5" t="s">
        <v>69</v>
      </c>
      <c r="B16" s="5" t="s">
        <v>70</v>
      </c>
      <c r="C16" s="5" t="s">
        <v>71</v>
      </c>
      <c r="K16" s="13"/>
    </row>
    <row r="17">
      <c r="A17" s="5" t="s">
        <v>72</v>
      </c>
      <c r="B17" s="14" t="s">
        <v>73</v>
      </c>
      <c r="C17" s="14" t="s">
        <v>74</v>
      </c>
      <c r="K17" s="13"/>
    </row>
    <row r="18">
      <c r="K18" s="13"/>
    </row>
    <row r="20">
      <c r="A20" s="1" t="s">
        <v>75</v>
      </c>
    </row>
    <row r="21">
      <c r="A21" s="1" t="s">
        <v>76</v>
      </c>
      <c r="B21" s="1" t="s">
        <v>77</v>
      </c>
      <c r="C21" s="1" t="s">
        <v>78</v>
      </c>
      <c r="D21" s="1" t="s">
        <v>79</v>
      </c>
    </row>
    <row r="22">
      <c r="A22" s="1" t="s">
        <v>2</v>
      </c>
      <c r="B22" s="1" t="s">
        <v>3</v>
      </c>
      <c r="C22" s="1" t="s">
        <v>35</v>
      </c>
      <c r="D22" s="1" t="s">
        <v>80</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68</v>
      </c>
      <c r="B16" s="7"/>
      <c r="C16" s="8"/>
    </row>
    <row r="17">
      <c r="A17" s="5" t="s">
        <v>69</v>
      </c>
      <c r="B17" s="5" t="s">
        <v>70</v>
      </c>
      <c r="C17" s="5" t="s">
        <v>71</v>
      </c>
    </row>
    <row r="18">
      <c r="A18" s="14" t="s">
        <v>81</v>
      </c>
      <c r="B18" s="5" t="s">
        <v>82</v>
      </c>
      <c r="C18" s="14" t="s">
        <v>83</v>
      </c>
    </row>
    <row r="20">
      <c r="A20" s="1" t="s">
        <v>84</v>
      </c>
    </row>
    <row r="21">
      <c r="A21" s="1" t="s">
        <v>76</v>
      </c>
      <c r="B21" s="1" t="s">
        <v>77</v>
      </c>
      <c r="C21" s="1" t="s">
        <v>78</v>
      </c>
      <c r="D21" s="1" t="s">
        <v>79</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66.0</v>
      </c>
      <c r="C6" s="10">
        <v>98.0</v>
      </c>
      <c r="D6" s="11">
        <f t="shared" ref="D6:D12" si="1">AVERAGE(B6:C6)</f>
        <v>82</v>
      </c>
      <c r="E6" s="10">
        <f t="shared" ref="E6:E12" si="2">ROUND(F6*H6,0)</f>
        <v>63</v>
      </c>
      <c r="F6" s="10">
        <f>ROUND(F7 * 0.9,0)</f>
        <v>97</v>
      </c>
      <c r="G6" s="10">
        <f t="shared" ref="G6:G12" si="3">AVERAGE(E6:F6)</f>
        <v>80</v>
      </c>
      <c r="H6" s="10">
        <v>0.65</v>
      </c>
    </row>
    <row r="7" ht="22.5" customHeight="1">
      <c r="A7" s="10">
        <v>0.0</v>
      </c>
      <c r="B7" s="10">
        <v>69.0</v>
      </c>
      <c r="C7" s="10">
        <v>105.0</v>
      </c>
      <c r="D7" s="11">
        <f t="shared" si="1"/>
        <v>87</v>
      </c>
      <c r="E7" s="10">
        <f t="shared" si="2"/>
        <v>70</v>
      </c>
      <c r="F7" s="10">
        <v>108.0</v>
      </c>
      <c r="G7" s="10">
        <f t="shared" si="3"/>
        <v>89</v>
      </c>
      <c r="H7" s="10">
        <v>0.65</v>
      </c>
    </row>
    <row r="8" ht="22.5" customHeight="1">
      <c r="A8" s="10">
        <v>1.0</v>
      </c>
      <c r="B8" s="10">
        <v>75.0</v>
      </c>
      <c r="C8" s="10">
        <v>120.0</v>
      </c>
      <c r="D8" s="11">
        <f t="shared" si="1"/>
        <v>97.5</v>
      </c>
      <c r="E8" s="10">
        <f t="shared" si="2"/>
        <v>77</v>
      </c>
      <c r="F8" s="10">
        <f t="shared" ref="F8:F12" si="4">ROUND(F7*1.1,0)</f>
        <v>119</v>
      </c>
      <c r="G8" s="10">
        <f t="shared" si="3"/>
        <v>98</v>
      </c>
      <c r="H8" s="10">
        <v>0.65</v>
      </c>
    </row>
    <row r="9" ht="15.0" customHeight="1">
      <c r="A9" s="10">
        <v>2.0</v>
      </c>
      <c r="B9" s="10">
        <v>81.0</v>
      </c>
      <c r="C9" s="10">
        <v>137.0</v>
      </c>
      <c r="D9" s="11">
        <f t="shared" si="1"/>
        <v>109</v>
      </c>
      <c r="E9" s="10">
        <f t="shared" si="2"/>
        <v>85</v>
      </c>
      <c r="F9" s="10">
        <f t="shared" si="4"/>
        <v>131</v>
      </c>
      <c r="G9" s="10">
        <f t="shared" si="3"/>
        <v>108</v>
      </c>
      <c r="H9" s="10">
        <v>0.65</v>
      </c>
      <c r="J9" s="1"/>
    </row>
    <row r="10" ht="22.5" customHeight="1">
      <c r="A10" s="10">
        <v>3.0</v>
      </c>
      <c r="B10" s="10">
        <v>87.0</v>
      </c>
      <c r="C10" s="10">
        <v>156.0</v>
      </c>
      <c r="D10" s="11">
        <f t="shared" si="1"/>
        <v>121.5</v>
      </c>
      <c r="E10" s="10">
        <f t="shared" si="2"/>
        <v>94</v>
      </c>
      <c r="F10" s="10">
        <f t="shared" si="4"/>
        <v>144</v>
      </c>
      <c r="G10" s="10">
        <f t="shared" si="3"/>
        <v>119</v>
      </c>
      <c r="H10" s="10">
        <v>0.65</v>
      </c>
    </row>
    <row r="11" ht="15.0" customHeight="1">
      <c r="A11" s="10">
        <v>4.0</v>
      </c>
      <c r="B11" s="10">
        <v>94.0</v>
      </c>
      <c r="C11" s="10">
        <v>178.0</v>
      </c>
      <c r="D11" s="11">
        <f t="shared" si="1"/>
        <v>136</v>
      </c>
      <c r="E11" s="10">
        <f t="shared" si="2"/>
        <v>103</v>
      </c>
      <c r="F11" s="10">
        <f t="shared" si="4"/>
        <v>158</v>
      </c>
      <c r="G11" s="10">
        <f t="shared" si="3"/>
        <v>130.5</v>
      </c>
      <c r="H11" s="10">
        <v>0.65</v>
      </c>
    </row>
    <row r="12" ht="21.75" customHeight="1">
      <c r="A12" s="10">
        <v>5.0</v>
      </c>
      <c r="B12" s="10">
        <v>102.0</v>
      </c>
      <c r="C12" s="10">
        <v>203.0</v>
      </c>
      <c r="D12" s="11">
        <f t="shared" si="1"/>
        <v>152.5</v>
      </c>
      <c r="E12" s="10">
        <f t="shared" si="2"/>
        <v>113</v>
      </c>
      <c r="F12" s="10">
        <f t="shared" si="4"/>
        <v>174</v>
      </c>
      <c r="G12" s="10">
        <f t="shared" si="3"/>
        <v>143.5</v>
      </c>
      <c r="H12" s="10">
        <v>0.65</v>
      </c>
    </row>
    <row r="13">
      <c r="A13" s="6" t="s">
        <v>68</v>
      </c>
      <c r="B13" s="7"/>
      <c r="C13" s="8"/>
    </row>
    <row r="14">
      <c r="A14" s="5" t="s">
        <v>69</v>
      </c>
      <c r="B14" s="5" t="s">
        <v>70</v>
      </c>
      <c r="C14" s="5" t="s">
        <v>71</v>
      </c>
    </row>
    <row r="15">
      <c r="A15" s="17" t="s">
        <v>85</v>
      </c>
      <c r="B15" s="17" t="s">
        <v>86</v>
      </c>
      <c r="C15" s="17" t="s">
        <v>87</v>
      </c>
      <c r="J15" s="1" t="s">
        <v>88</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75</v>
      </c>
    </row>
    <row r="21">
      <c r="A21" s="1" t="s">
        <v>76</v>
      </c>
      <c r="B21" s="1" t="s">
        <v>77</v>
      </c>
      <c r="C21" s="1" t="s">
        <v>78</v>
      </c>
      <c r="D21" s="1" t="s">
        <v>79</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68</v>
      </c>
      <c r="B15" s="7"/>
      <c r="C15" s="8"/>
      <c r="D15" s="9"/>
    </row>
    <row r="16">
      <c r="A16" s="5" t="s">
        <v>69</v>
      </c>
      <c r="B16" s="5" t="s">
        <v>70</v>
      </c>
      <c r="C16" s="5" t="s">
        <v>71</v>
      </c>
      <c r="D16" s="5" t="s">
        <v>89</v>
      </c>
    </row>
    <row r="17">
      <c r="A17" s="17" t="s">
        <v>90</v>
      </c>
      <c r="B17" s="17" t="s">
        <v>91</v>
      </c>
      <c r="C17" s="17" t="s">
        <v>92</v>
      </c>
      <c r="D17" s="17" t="s">
        <v>93</v>
      </c>
    </row>
    <row r="20">
      <c r="A20" s="1" t="s">
        <v>75</v>
      </c>
    </row>
    <row r="21">
      <c r="A21" s="1" t="s">
        <v>76</v>
      </c>
      <c r="B21" s="1" t="s">
        <v>77</v>
      </c>
      <c r="C21" s="1" t="s">
        <v>78</v>
      </c>
      <c r="D21" s="1" t="s">
        <v>79</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17.25" customHeight="1">
      <c r="A6" s="10">
        <v>-1.0</v>
      </c>
      <c r="B6" s="10">
        <v>105.0</v>
      </c>
      <c r="C6" s="10">
        <v>140.0</v>
      </c>
      <c r="D6" s="11">
        <f t="shared" ref="D6:D12" si="1">AVERAGE(B6:C6)</f>
        <v>122.5</v>
      </c>
      <c r="E6" s="10">
        <f t="shared" ref="E6:E12" si="2">ROUND(F6*H6,0)</f>
        <v>102</v>
      </c>
      <c r="F6" s="10">
        <f>ROUND(F7 * 0.9,0)</f>
        <v>157</v>
      </c>
      <c r="G6" s="10">
        <f t="shared" ref="G6:G12" si="3">AVERAGE(E6:F6)</f>
        <v>129.5</v>
      </c>
      <c r="H6" s="10">
        <v>0.65</v>
      </c>
    </row>
    <row r="7" ht="22.5" customHeight="1">
      <c r="A7" s="10">
        <v>0.0</v>
      </c>
      <c r="B7" s="10">
        <v>111.0</v>
      </c>
      <c r="C7" s="10">
        <v>149.0</v>
      </c>
      <c r="D7" s="11">
        <f t="shared" si="1"/>
        <v>130</v>
      </c>
      <c r="E7" s="10">
        <f t="shared" si="2"/>
        <v>113</v>
      </c>
      <c r="F7" s="10">
        <v>174.0</v>
      </c>
      <c r="G7" s="10">
        <f t="shared" si="3"/>
        <v>143.5</v>
      </c>
      <c r="H7" s="10">
        <v>0.65</v>
      </c>
    </row>
    <row r="8" ht="14.25" customHeight="1">
      <c r="A8" s="10">
        <v>1.0</v>
      </c>
      <c r="B8" s="10">
        <v>124.0</v>
      </c>
      <c r="C8" s="10">
        <v>167.0</v>
      </c>
      <c r="D8" s="11">
        <f t="shared" si="1"/>
        <v>145.5</v>
      </c>
      <c r="E8" s="10">
        <f t="shared" si="2"/>
        <v>124</v>
      </c>
      <c r="F8" s="10">
        <f t="shared" ref="F8:F12" si="4">ROUND(F7*1.1,0)</f>
        <v>191</v>
      </c>
      <c r="G8" s="10">
        <f t="shared" si="3"/>
        <v>157.5</v>
      </c>
      <c r="H8" s="10">
        <v>0.65</v>
      </c>
      <c r="L8" s="1"/>
    </row>
    <row r="9" ht="22.5" customHeight="1">
      <c r="A9" s="10">
        <v>2.0</v>
      </c>
      <c r="B9" s="10">
        <v>139.0</v>
      </c>
      <c r="C9" s="10">
        <v>187.0</v>
      </c>
      <c r="D9" s="11">
        <f t="shared" si="1"/>
        <v>163</v>
      </c>
      <c r="E9" s="10">
        <f t="shared" si="2"/>
        <v>137</v>
      </c>
      <c r="F9" s="10">
        <f t="shared" si="4"/>
        <v>210</v>
      </c>
      <c r="G9" s="10">
        <f t="shared" si="3"/>
        <v>173.5</v>
      </c>
      <c r="H9" s="10">
        <v>0.65</v>
      </c>
    </row>
    <row r="10" ht="16.5" customHeight="1">
      <c r="A10" s="10">
        <v>3.0</v>
      </c>
      <c r="B10" s="10">
        <v>156.0</v>
      </c>
      <c r="C10" s="10">
        <v>209.0</v>
      </c>
      <c r="D10" s="11">
        <f t="shared" si="1"/>
        <v>182.5</v>
      </c>
      <c r="E10" s="10">
        <f t="shared" si="2"/>
        <v>150</v>
      </c>
      <c r="F10" s="10">
        <f t="shared" si="4"/>
        <v>231</v>
      </c>
      <c r="G10" s="10">
        <f t="shared" si="3"/>
        <v>190.5</v>
      </c>
      <c r="H10" s="10">
        <v>0.65</v>
      </c>
    </row>
    <row r="11" ht="16.5" customHeight="1">
      <c r="A11" s="10">
        <v>4.0</v>
      </c>
      <c r="B11" s="10">
        <v>175.0</v>
      </c>
      <c r="C11" s="10">
        <v>234.0</v>
      </c>
      <c r="D11" s="11">
        <f t="shared" si="1"/>
        <v>204.5</v>
      </c>
      <c r="E11" s="10">
        <f t="shared" si="2"/>
        <v>165</v>
      </c>
      <c r="F11" s="10">
        <f t="shared" si="4"/>
        <v>254</v>
      </c>
      <c r="G11" s="10">
        <f t="shared" si="3"/>
        <v>209.5</v>
      </c>
      <c r="H11" s="10">
        <v>0.65</v>
      </c>
    </row>
    <row r="12" ht="16.5" customHeight="1">
      <c r="A12" s="10">
        <v>5.0</v>
      </c>
      <c r="B12" s="10">
        <v>196.0</v>
      </c>
      <c r="C12" s="10">
        <v>292.0</v>
      </c>
      <c r="D12" s="11">
        <f t="shared" si="1"/>
        <v>244</v>
      </c>
      <c r="E12" s="10">
        <f t="shared" si="2"/>
        <v>181</v>
      </c>
      <c r="F12" s="10">
        <f t="shared" si="4"/>
        <v>279</v>
      </c>
      <c r="G12" s="10">
        <f t="shared" si="3"/>
        <v>230</v>
      </c>
      <c r="H12" s="10">
        <v>0.65</v>
      </c>
    </row>
    <row r="13" ht="16.5" customHeight="1"/>
    <row r="14" ht="18.0" customHeight="1"/>
    <row r="15">
      <c r="A15" s="1"/>
      <c r="B15" s="1"/>
      <c r="C15" s="1"/>
      <c r="D15" s="1"/>
    </row>
    <row r="16">
      <c r="A16" s="6" t="s">
        <v>68</v>
      </c>
      <c r="B16" s="7"/>
      <c r="C16" s="7"/>
      <c r="D16" s="8"/>
    </row>
    <row r="17">
      <c r="A17" s="5" t="s">
        <v>69</v>
      </c>
      <c r="B17" s="5" t="s">
        <v>70</v>
      </c>
      <c r="C17" s="6" t="s">
        <v>71</v>
      </c>
      <c r="D17" s="24" t="s">
        <v>94</v>
      </c>
    </row>
    <row r="18">
      <c r="A18" s="17" t="s">
        <v>95</v>
      </c>
      <c r="B18" s="17" t="s">
        <v>96</v>
      </c>
      <c r="C18" s="25" t="s">
        <v>92</v>
      </c>
      <c r="D18" s="26" t="s">
        <v>97</v>
      </c>
    </row>
    <row r="20">
      <c r="A20" s="1" t="s">
        <v>75</v>
      </c>
    </row>
    <row r="21">
      <c r="A21" s="1" t="s">
        <v>76</v>
      </c>
      <c r="B21" s="1" t="s">
        <v>77</v>
      </c>
      <c r="C21" s="1" t="s">
        <v>78</v>
      </c>
      <c r="D21" s="1" t="s">
        <v>79</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68</v>
      </c>
      <c r="B15" s="7"/>
      <c r="C15" s="7"/>
      <c r="D15" s="7"/>
    </row>
    <row r="16" ht="39.0" customHeight="1">
      <c r="A16" s="5" t="s">
        <v>69</v>
      </c>
      <c r="B16" s="5" t="s">
        <v>70</v>
      </c>
      <c r="C16" s="6" t="s">
        <v>71</v>
      </c>
      <c r="D16" s="5" t="s">
        <v>94</v>
      </c>
    </row>
    <row r="17" ht="65.25" customHeight="1">
      <c r="A17" s="17" t="s">
        <v>85</v>
      </c>
      <c r="B17" s="17" t="s">
        <v>85</v>
      </c>
      <c r="C17" s="25" t="s">
        <v>100</v>
      </c>
      <c r="D17" s="17" t="s">
        <v>85</v>
      </c>
      <c r="L17" s="23"/>
    </row>
    <row r="18">
      <c r="K18" s="1"/>
    </row>
    <row r="20">
      <c r="A20" s="1" t="s">
        <v>75</v>
      </c>
    </row>
    <row r="21">
      <c r="A21" s="1" t="s">
        <v>76</v>
      </c>
      <c r="B21" s="1" t="s">
        <v>77</v>
      </c>
      <c r="C21" s="1" t="s">
        <v>78</v>
      </c>
      <c r="D21" s="1" t="s">
        <v>79</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68</v>
      </c>
      <c r="B13" s="7"/>
      <c r="C13" s="8"/>
    </row>
    <row r="14">
      <c r="A14" s="5" t="s">
        <v>69</v>
      </c>
      <c r="B14" s="5" t="s">
        <v>70</v>
      </c>
      <c r="C14" s="5" t="s">
        <v>71</v>
      </c>
      <c r="D14" s="5" t="s">
        <v>94</v>
      </c>
    </row>
    <row r="15">
      <c r="A15" s="17" t="s">
        <v>85</v>
      </c>
      <c r="B15" s="17" t="s">
        <v>104</v>
      </c>
      <c r="C15" s="17" t="s">
        <v>92</v>
      </c>
      <c r="D15" s="17" t="s">
        <v>92</v>
      </c>
    </row>
    <row r="16">
      <c r="E16" s="13"/>
      <c r="F16" s="13"/>
      <c r="G16" s="13"/>
    </row>
    <row r="19" ht="36.0" customHeight="1"/>
    <row r="20">
      <c r="A20" s="5" t="s">
        <v>75</v>
      </c>
      <c r="B20" s="9"/>
      <c r="C20" s="9"/>
      <c r="D20" s="9"/>
    </row>
    <row r="21">
      <c r="A21" s="5" t="s">
        <v>76</v>
      </c>
      <c r="B21" s="5" t="s">
        <v>77</v>
      </c>
      <c r="C21" s="5" t="s">
        <v>78</v>
      </c>
      <c r="D21" s="5" t="s">
        <v>79</v>
      </c>
    </row>
    <row r="22">
      <c r="A22" s="27" t="s">
        <v>105</v>
      </c>
      <c r="B22" s="27" t="s">
        <v>8</v>
      </c>
      <c r="C22" s="27" t="s">
        <v>106</v>
      </c>
      <c r="D22" s="14" t="s">
        <v>107</v>
      </c>
    </row>
  </sheetData>
  <mergeCells count="2">
    <mergeCell ref="B3:G3"/>
    <mergeCell ref="A13:C13"/>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59</v>
      </c>
    </row>
    <row r="3">
      <c r="A3" s="5"/>
      <c r="B3" s="6" t="s">
        <v>60</v>
      </c>
      <c r="C3" s="7"/>
      <c r="D3" s="7"/>
      <c r="E3" s="7"/>
      <c r="F3" s="7"/>
      <c r="G3" s="8"/>
      <c r="H3" s="9"/>
    </row>
    <row r="4">
      <c r="A4" s="1"/>
      <c r="B4" s="1"/>
      <c r="C4" s="1"/>
      <c r="D4" s="1"/>
      <c r="E4" s="1"/>
      <c r="F4" s="1"/>
      <c r="G4" s="1"/>
      <c r="H4" s="1"/>
      <c r="K4" s="1"/>
      <c r="L4" s="1"/>
      <c r="M4" s="1"/>
      <c r="N4" s="1"/>
      <c r="O4" s="1"/>
      <c r="P4" s="1"/>
      <c r="Q4" s="1"/>
    </row>
    <row r="5" ht="22.5" customHeight="1">
      <c r="A5" s="2" t="s">
        <v>1</v>
      </c>
      <c r="B5" s="2" t="s">
        <v>61</v>
      </c>
      <c r="C5" s="2" t="s">
        <v>62</v>
      </c>
      <c r="D5" s="2" t="s">
        <v>63</v>
      </c>
      <c r="E5" s="2" t="s">
        <v>64</v>
      </c>
      <c r="F5" s="2" t="s">
        <v>65</v>
      </c>
      <c r="G5" s="2" t="s">
        <v>66</v>
      </c>
      <c r="H5" s="2" t="s">
        <v>67</v>
      </c>
      <c r="K5" s="1" t="s">
        <v>108</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68</v>
      </c>
      <c r="B16" s="7"/>
      <c r="C16" s="7"/>
      <c r="D16" s="7"/>
    </row>
    <row r="17">
      <c r="A17" s="5" t="s">
        <v>69</v>
      </c>
      <c r="B17" s="5" t="s">
        <v>70</v>
      </c>
      <c r="C17" s="6" t="s">
        <v>71</v>
      </c>
      <c r="D17" s="12" t="s">
        <v>94</v>
      </c>
      <c r="K17" s="28"/>
      <c r="L17" s="28"/>
      <c r="P17" s="28"/>
      <c r="Q17" s="28"/>
    </row>
    <row r="18">
      <c r="A18" s="17" t="s">
        <v>109</v>
      </c>
      <c r="B18" s="17" t="s">
        <v>110</v>
      </c>
      <c r="C18" s="25" t="s">
        <v>92</v>
      </c>
      <c r="D18" s="29" t="s">
        <v>85</v>
      </c>
      <c r="K18" s="28"/>
      <c r="L18" s="28"/>
      <c r="P18" s="28"/>
      <c r="Q18" s="28"/>
    </row>
    <row r="19">
      <c r="H19" s="13"/>
      <c r="I19" s="13"/>
      <c r="K19" s="28"/>
      <c r="L19" s="28"/>
      <c r="P19" s="28"/>
      <c r="Q19" s="28"/>
    </row>
    <row r="20">
      <c r="A20" s="5" t="s">
        <v>75</v>
      </c>
      <c r="B20" s="9"/>
      <c r="C20" s="9"/>
      <c r="D20" s="9"/>
      <c r="H20" s="13"/>
      <c r="I20" s="13"/>
      <c r="K20" s="28"/>
      <c r="L20" s="28"/>
      <c r="M20" s="28"/>
    </row>
    <row r="21">
      <c r="A21" s="5" t="s">
        <v>76</v>
      </c>
      <c r="B21" s="5" t="s">
        <v>77</v>
      </c>
      <c r="C21" s="5" t="s">
        <v>78</v>
      </c>
      <c r="D21" s="5" t="s">
        <v>79</v>
      </c>
      <c r="H21" s="13"/>
      <c r="I21" s="13"/>
    </row>
    <row r="22">
      <c r="A22" s="30" t="s">
        <v>111</v>
      </c>
      <c r="B22" s="27" t="s">
        <v>7</v>
      </c>
      <c r="C22" s="30" t="s">
        <v>34</v>
      </c>
      <c r="D22" s="17" t="s">
        <v>112</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74.0</v>
      </c>
      <c r="C6" s="10">
        <v>97.0</v>
      </c>
      <c r="D6" s="11">
        <f t="shared" ref="D6:D12" si="1">AVERAGE(B6:C6)</f>
        <v>85.5</v>
      </c>
      <c r="E6" s="10">
        <f t="shared" ref="E6:E12" si="2">ROUND(F6*H6,0)</f>
        <v>75</v>
      </c>
      <c r="F6" s="10">
        <f>ROUND(F7 * 0.9,0)</f>
        <v>115</v>
      </c>
      <c r="G6" s="10">
        <f t="shared" ref="G6:G12" si="3">AVERAGE(E6:F6)</f>
        <v>95</v>
      </c>
      <c r="H6" s="10">
        <v>0.65</v>
      </c>
    </row>
    <row r="7" ht="22.5" customHeight="1">
      <c r="A7" s="10">
        <v>0.0</v>
      </c>
      <c r="B7" s="10">
        <v>81.0</v>
      </c>
      <c r="C7" s="10">
        <v>104.0</v>
      </c>
      <c r="D7" s="11">
        <f t="shared" si="1"/>
        <v>92.5</v>
      </c>
      <c r="E7" s="10">
        <f t="shared" si="2"/>
        <v>83</v>
      </c>
      <c r="F7" s="10">
        <v>128.0</v>
      </c>
      <c r="G7" s="10">
        <f t="shared" si="3"/>
        <v>105.5</v>
      </c>
      <c r="H7" s="10">
        <v>0.65</v>
      </c>
    </row>
    <row r="8" ht="22.5" customHeight="1">
      <c r="A8" s="10">
        <v>1.0</v>
      </c>
      <c r="B8" s="10">
        <v>90.0</v>
      </c>
      <c r="C8" s="10">
        <v>115.0</v>
      </c>
      <c r="D8" s="11">
        <f t="shared" si="1"/>
        <v>102.5</v>
      </c>
      <c r="E8" s="10">
        <f t="shared" si="2"/>
        <v>92</v>
      </c>
      <c r="F8" s="10">
        <f t="shared" ref="F8:F12" si="4">ROUND(F7*1.1,0)</f>
        <v>141</v>
      </c>
      <c r="G8" s="10">
        <f t="shared" si="3"/>
        <v>116.5</v>
      </c>
      <c r="H8" s="10">
        <v>0.65</v>
      </c>
    </row>
    <row r="9" ht="22.5" customHeight="1">
      <c r="A9" s="10">
        <v>2.0</v>
      </c>
      <c r="B9" s="10">
        <v>100.0</v>
      </c>
      <c r="C9" s="10">
        <v>128.0</v>
      </c>
      <c r="D9" s="11">
        <f t="shared" si="1"/>
        <v>114</v>
      </c>
      <c r="E9" s="10">
        <f t="shared" si="2"/>
        <v>101</v>
      </c>
      <c r="F9" s="10">
        <f t="shared" si="4"/>
        <v>155</v>
      </c>
      <c r="G9" s="10">
        <f t="shared" si="3"/>
        <v>128</v>
      </c>
      <c r="H9" s="10">
        <v>0.65</v>
      </c>
    </row>
    <row r="10" ht="16.5" customHeight="1">
      <c r="A10" s="10">
        <v>3.0</v>
      </c>
      <c r="B10" s="10">
        <v>111.0</v>
      </c>
      <c r="C10" s="10">
        <v>142.0</v>
      </c>
      <c r="D10" s="11">
        <f t="shared" si="1"/>
        <v>126.5</v>
      </c>
      <c r="E10" s="10">
        <f t="shared" si="2"/>
        <v>111</v>
      </c>
      <c r="F10" s="10">
        <f t="shared" si="4"/>
        <v>171</v>
      </c>
      <c r="G10" s="10">
        <f t="shared" si="3"/>
        <v>141</v>
      </c>
      <c r="H10" s="10">
        <v>0.65</v>
      </c>
    </row>
    <row r="11" ht="22.5" customHeight="1">
      <c r="A11" s="10">
        <v>4.0</v>
      </c>
      <c r="B11" s="10">
        <v>123.0</v>
      </c>
      <c r="C11" s="10">
        <v>158.0</v>
      </c>
      <c r="D11" s="11">
        <f t="shared" si="1"/>
        <v>140.5</v>
      </c>
      <c r="E11" s="10">
        <f t="shared" si="2"/>
        <v>122</v>
      </c>
      <c r="F11" s="10">
        <f t="shared" si="4"/>
        <v>188</v>
      </c>
      <c r="G11" s="10">
        <f t="shared" si="3"/>
        <v>155</v>
      </c>
      <c r="H11" s="10">
        <v>0.65</v>
      </c>
    </row>
    <row r="12" ht="22.5" customHeight="1">
      <c r="A12" s="10">
        <v>5.0</v>
      </c>
      <c r="B12" s="10">
        <v>137.0</v>
      </c>
      <c r="C12" s="10">
        <v>175.0</v>
      </c>
      <c r="D12" s="11">
        <f t="shared" si="1"/>
        <v>156</v>
      </c>
      <c r="E12" s="10">
        <f t="shared" si="2"/>
        <v>135</v>
      </c>
      <c r="F12" s="10">
        <f t="shared" si="4"/>
        <v>207</v>
      </c>
      <c r="G12" s="10">
        <f t="shared" si="3"/>
        <v>171</v>
      </c>
      <c r="H12" s="10">
        <v>0.65</v>
      </c>
      <c r="L12" s="31"/>
      <c r="M12" s="31"/>
      <c r="N12" s="31"/>
    </row>
    <row r="13">
      <c r="I13" s="1" t="s">
        <v>113</v>
      </c>
      <c r="L13" s="31"/>
      <c r="M13" s="31"/>
      <c r="N13" s="31"/>
    </row>
    <row r="14">
      <c r="L14" s="19"/>
      <c r="M14" s="19"/>
      <c r="N14" s="19"/>
    </row>
    <row r="15">
      <c r="M15" s="32"/>
    </row>
    <row r="16">
      <c r="A16" s="6" t="s">
        <v>68</v>
      </c>
      <c r="B16" s="7"/>
      <c r="C16" s="7"/>
      <c r="D16" s="12"/>
    </row>
    <row r="17">
      <c r="A17" s="5" t="s">
        <v>69</v>
      </c>
      <c r="B17" s="5" t="s">
        <v>70</v>
      </c>
      <c r="C17" s="6" t="s">
        <v>71</v>
      </c>
      <c r="D17" s="6" t="s">
        <v>94</v>
      </c>
      <c r="E17" s="5" t="s">
        <v>114</v>
      </c>
      <c r="F17" s="5" t="s">
        <v>89</v>
      </c>
    </row>
    <row r="18">
      <c r="A18" s="17" t="s">
        <v>85</v>
      </c>
      <c r="B18" s="17" t="s">
        <v>115</v>
      </c>
      <c r="C18" s="17" t="s">
        <v>116</v>
      </c>
      <c r="D18" s="17" t="s">
        <v>117</v>
      </c>
      <c r="E18" s="17" t="s">
        <v>118</v>
      </c>
      <c r="F18" s="17" t="s">
        <v>119</v>
      </c>
      <c r="H18" s="33"/>
    </row>
    <row r="20">
      <c r="A20" s="1" t="s">
        <v>75</v>
      </c>
    </row>
    <row r="21">
      <c r="A21" s="1" t="s">
        <v>76</v>
      </c>
      <c r="B21" s="1" t="s">
        <v>77</v>
      </c>
      <c r="C21" s="1" t="s">
        <v>78</v>
      </c>
      <c r="D21" s="1" t="s">
        <v>79</v>
      </c>
    </row>
    <row r="22" ht="36.0" customHeight="1">
      <c r="A22" s="34" t="s">
        <v>120</v>
      </c>
      <c r="B22" s="34" t="s">
        <v>8</v>
      </c>
      <c r="C22" s="34" t="s">
        <v>36</v>
      </c>
      <c r="D22" s="23" t="s">
        <v>121</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68</v>
      </c>
      <c r="B14" s="7"/>
      <c r="C14" s="8"/>
      <c r="D14" s="9"/>
      <c r="E14" s="9"/>
    </row>
    <row r="15" ht="21.75" customHeight="1">
      <c r="A15" s="5" t="s">
        <v>69</v>
      </c>
      <c r="B15" s="5" t="s">
        <v>70</v>
      </c>
      <c r="C15" s="5" t="s">
        <v>71</v>
      </c>
      <c r="D15" s="5" t="s">
        <v>94</v>
      </c>
      <c r="E15" s="5" t="s">
        <v>122</v>
      </c>
    </row>
    <row r="16">
      <c r="A16" s="35" t="s">
        <v>85</v>
      </c>
      <c r="B16" s="17" t="s">
        <v>123</v>
      </c>
      <c r="C16" s="17" t="s">
        <v>124</v>
      </c>
      <c r="D16" s="17" t="s">
        <v>125</v>
      </c>
      <c r="E16" s="14" t="s">
        <v>126</v>
      </c>
    </row>
    <row r="20">
      <c r="A20" s="1" t="s">
        <v>75</v>
      </c>
    </row>
    <row r="21">
      <c r="A21" s="1" t="s">
        <v>76</v>
      </c>
      <c r="B21" s="1" t="s">
        <v>77</v>
      </c>
      <c r="C21" s="1" t="s">
        <v>78</v>
      </c>
      <c r="D21" s="1" t="s">
        <v>79</v>
      </c>
    </row>
    <row r="22">
      <c r="A22" s="34" t="s">
        <v>127</v>
      </c>
      <c r="B22" s="34" t="s">
        <v>15</v>
      </c>
      <c r="C22" s="34" t="s">
        <v>128</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47.0</v>
      </c>
      <c r="C6" s="10">
        <v>55.0</v>
      </c>
      <c r="D6" s="11">
        <f t="shared" ref="D6:D12" si="1">AVERAGE(B6:C6)</f>
        <v>51</v>
      </c>
      <c r="E6" s="10">
        <f t="shared" ref="E6:E12" si="2">ROUND(F6*H6,0)</f>
        <v>54</v>
      </c>
      <c r="F6" s="10">
        <f>ROUND(F7 * 0.9,0)</f>
        <v>68</v>
      </c>
      <c r="G6" s="10">
        <f t="shared" ref="G6:G12" si="3">AVERAGE(E6:F6)</f>
        <v>61</v>
      </c>
      <c r="H6" s="10">
        <v>0.8</v>
      </c>
    </row>
    <row r="7" ht="22.5" customHeight="1">
      <c r="A7" s="10">
        <v>0.0</v>
      </c>
      <c r="B7" s="10">
        <v>49.0</v>
      </c>
      <c r="C7" s="10">
        <v>58.0</v>
      </c>
      <c r="D7" s="11">
        <f t="shared" si="1"/>
        <v>53.5</v>
      </c>
      <c r="E7" s="10">
        <f t="shared" si="2"/>
        <v>61</v>
      </c>
      <c r="F7" s="10">
        <v>76.0</v>
      </c>
      <c r="G7" s="10">
        <f t="shared" si="3"/>
        <v>68.5</v>
      </c>
      <c r="H7" s="10">
        <v>0.8</v>
      </c>
    </row>
    <row r="8" ht="22.5" customHeight="1">
      <c r="A8" s="10">
        <v>1.0</v>
      </c>
      <c r="B8" s="10">
        <v>54.0</v>
      </c>
      <c r="C8" s="10">
        <v>64.0</v>
      </c>
      <c r="D8" s="11">
        <f t="shared" si="1"/>
        <v>59</v>
      </c>
      <c r="E8" s="10">
        <f t="shared" si="2"/>
        <v>67</v>
      </c>
      <c r="F8" s="10">
        <f t="shared" ref="F8:F12" si="4">ROUND(F7*1.1,0)</f>
        <v>84</v>
      </c>
      <c r="G8" s="10">
        <f t="shared" si="3"/>
        <v>75.5</v>
      </c>
      <c r="H8" s="10">
        <v>0.8</v>
      </c>
    </row>
    <row r="9" ht="22.5" customHeight="1">
      <c r="A9" s="10">
        <v>2.0</v>
      </c>
      <c r="B9" s="10">
        <v>59.0</v>
      </c>
      <c r="C9" s="10">
        <v>70.0</v>
      </c>
      <c r="D9" s="11">
        <f t="shared" si="1"/>
        <v>64.5</v>
      </c>
      <c r="E9" s="10">
        <f t="shared" si="2"/>
        <v>74</v>
      </c>
      <c r="F9" s="10">
        <f t="shared" si="4"/>
        <v>92</v>
      </c>
      <c r="G9" s="10">
        <f t="shared" si="3"/>
        <v>83</v>
      </c>
      <c r="H9" s="10">
        <v>0.8</v>
      </c>
    </row>
    <row r="10" ht="22.5" customHeight="1">
      <c r="A10" s="10">
        <v>3.0</v>
      </c>
      <c r="B10" s="10">
        <v>65.0</v>
      </c>
      <c r="C10" s="10">
        <v>77.0</v>
      </c>
      <c r="D10" s="11">
        <f t="shared" si="1"/>
        <v>71</v>
      </c>
      <c r="E10" s="10">
        <f t="shared" si="2"/>
        <v>81</v>
      </c>
      <c r="F10" s="10">
        <f t="shared" si="4"/>
        <v>101</v>
      </c>
      <c r="G10" s="10">
        <f t="shared" si="3"/>
        <v>91</v>
      </c>
      <c r="H10" s="10">
        <v>0.8</v>
      </c>
    </row>
    <row r="11" ht="22.5" customHeight="1">
      <c r="A11" s="10">
        <v>4.0</v>
      </c>
      <c r="B11" s="10">
        <v>72.0</v>
      </c>
      <c r="C11" s="10">
        <v>85.0</v>
      </c>
      <c r="D11" s="11">
        <f t="shared" si="1"/>
        <v>78.5</v>
      </c>
      <c r="E11" s="10">
        <f t="shared" si="2"/>
        <v>89</v>
      </c>
      <c r="F11" s="10">
        <f t="shared" si="4"/>
        <v>111</v>
      </c>
      <c r="G11" s="10">
        <f t="shared" si="3"/>
        <v>100</v>
      </c>
      <c r="H11" s="10">
        <v>0.8</v>
      </c>
    </row>
    <row r="12" ht="22.5" customHeight="1">
      <c r="A12" s="10">
        <v>5.0</v>
      </c>
      <c r="B12" s="10">
        <v>79.0</v>
      </c>
      <c r="C12" s="10">
        <v>94.0</v>
      </c>
      <c r="D12" s="11">
        <f t="shared" si="1"/>
        <v>86.5</v>
      </c>
      <c r="E12" s="10">
        <f t="shared" si="2"/>
        <v>98</v>
      </c>
      <c r="F12" s="10">
        <f t="shared" si="4"/>
        <v>122</v>
      </c>
      <c r="G12" s="10">
        <f t="shared" si="3"/>
        <v>110</v>
      </c>
      <c r="H12" s="10">
        <v>0.8</v>
      </c>
    </row>
    <row r="14" ht="11.25" customHeight="1">
      <c r="K14" s="1"/>
    </row>
    <row r="15">
      <c r="A15" s="6" t="s">
        <v>68</v>
      </c>
      <c r="B15" s="7"/>
      <c r="C15" s="7"/>
      <c r="L15" s="1"/>
    </row>
    <row r="16" ht="39.0" customHeight="1">
      <c r="A16" s="5" t="s">
        <v>69</v>
      </c>
      <c r="B16" s="5" t="s">
        <v>70</v>
      </c>
      <c r="C16" s="6" t="s">
        <v>71</v>
      </c>
      <c r="L16" s="1"/>
      <c r="M16" s="1"/>
      <c r="N16" s="1"/>
    </row>
    <row r="17" ht="138.0" customHeight="1">
      <c r="A17" s="17" t="s">
        <v>129</v>
      </c>
      <c r="B17" s="17" t="s">
        <v>130</v>
      </c>
      <c r="C17" s="25" t="s">
        <v>85</v>
      </c>
      <c r="L17" s="23"/>
      <c r="M17" s="23"/>
      <c r="N17" s="23"/>
    </row>
    <row r="20">
      <c r="A20" s="1" t="s">
        <v>84</v>
      </c>
    </row>
    <row r="21">
      <c r="A21" s="1" t="s">
        <v>76</v>
      </c>
      <c r="B21" s="1" t="s">
        <v>77</v>
      </c>
      <c r="C21" s="1" t="s">
        <v>78</v>
      </c>
      <c r="D21" s="1" t="s">
        <v>79</v>
      </c>
    </row>
    <row r="22">
      <c r="A22" s="34" t="s">
        <v>121</v>
      </c>
      <c r="B22" s="34" t="s">
        <v>131</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68</v>
      </c>
      <c r="B14" s="7"/>
      <c r="C14" s="7"/>
      <c r="D14" s="7"/>
    </row>
    <row r="15">
      <c r="A15" s="5" t="s">
        <v>69</v>
      </c>
      <c r="B15" s="5" t="s">
        <v>70</v>
      </c>
      <c r="C15" s="6" t="s">
        <v>71</v>
      </c>
      <c r="D15" s="12" t="s">
        <v>94</v>
      </c>
    </row>
    <row r="16" ht="154.5" customHeight="1">
      <c r="A16" s="17" t="s">
        <v>132</v>
      </c>
      <c r="B16" s="17" t="s">
        <v>133</v>
      </c>
      <c r="C16" s="25" t="s">
        <v>85</v>
      </c>
      <c r="D16" s="29" t="s">
        <v>85</v>
      </c>
      <c r="I16" s="1"/>
    </row>
    <row r="17">
      <c r="A17" s="1"/>
      <c r="L17" s="13"/>
    </row>
    <row r="18">
      <c r="K18" s="13"/>
      <c r="M18" s="13"/>
    </row>
    <row r="19">
      <c r="M19" s="13"/>
      <c r="N19" s="13"/>
    </row>
    <row r="20">
      <c r="A20" s="1" t="s">
        <v>84</v>
      </c>
      <c r="K20" s="13"/>
      <c r="M20" s="13"/>
    </row>
    <row r="21">
      <c r="A21" s="1" t="s">
        <v>134</v>
      </c>
      <c r="B21" s="1" t="s">
        <v>77</v>
      </c>
      <c r="C21" s="1" t="s">
        <v>78</v>
      </c>
      <c r="D21" s="1" t="s">
        <v>79</v>
      </c>
      <c r="I21" s="28"/>
      <c r="J21" s="28"/>
      <c r="K21" s="28"/>
      <c r="L21" s="13"/>
      <c r="M21" s="28"/>
      <c r="N21" s="28"/>
      <c r="O21" s="28"/>
      <c r="P21" s="28"/>
      <c r="Q21" s="28"/>
      <c r="R21" s="28"/>
    </row>
    <row r="22">
      <c r="A22" s="1" t="s">
        <v>7</v>
      </c>
      <c r="B22" s="34" t="s">
        <v>15</v>
      </c>
      <c r="C22" s="34" t="s">
        <v>105</v>
      </c>
      <c r="D22" s="23" t="s">
        <v>135</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68</v>
      </c>
      <c r="B14" s="7"/>
      <c r="C14" s="8"/>
      <c r="K14" s="1"/>
    </row>
    <row r="15" ht="51.75" customHeight="1">
      <c r="A15" s="5" t="s">
        <v>69</v>
      </c>
      <c r="B15" s="5" t="s">
        <v>70</v>
      </c>
      <c r="C15" s="5" t="s">
        <v>71</v>
      </c>
      <c r="D15" s="5" t="s">
        <v>136</v>
      </c>
    </row>
    <row r="16" ht="43.5" customHeight="1">
      <c r="A16" s="14" t="s">
        <v>137</v>
      </c>
      <c r="B16" s="14" t="s">
        <v>138</v>
      </c>
      <c r="C16" s="14" t="s">
        <v>139</v>
      </c>
      <c r="D16" s="14" t="s">
        <v>140</v>
      </c>
    </row>
    <row r="18">
      <c r="M18" s="13"/>
    </row>
    <row r="19">
      <c r="M19" s="13"/>
    </row>
    <row r="20">
      <c r="A20" s="1" t="s">
        <v>84</v>
      </c>
      <c r="M20" s="13"/>
    </row>
    <row r="21">
      <c r="A21" s="1" t="s">
        <v>76</v>
      </c>
      <c r="B21" s="1" t="s">
        <v>77</v>
      </c>
      <c r="C21" s="1" t="s">
        <v>78</v>
      </c>
      <c r="D21" s="1" t="s">
        <v>79</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68</v>
      </c>
      <c r="B14" s="7"/>
      <c r="C14" s="7"/>
      <c r="D14" s="7"/>
    </row>
    <row r="15">
      <c r="A15" s="5" t="s">
        <v>69</v>
      </c>
      <c r="B15" s="5" t="s">
        <v>70</v>
      </c>
      <c r="C15" s="6" t="s">
        <v>71</v>
      </c>
      <c r="D15" s="12" t="s">
        <v>94</v>
      </c>
      <c r="L15" s="28"/>
      <c r="M15" s="28"/>
      <c r="N15" s="28"/>
      <c r="O15" s="28"/>
      <c r="P15" s="28"/>
    </row>
    <row r="16">
      <c r="A16" s="17" t="s">
        <v>141</v>
      </c>
      <c r="B16" s="17" t="s">
        <v>142</v>
      </c>
      <c r="C16" s="25" t="s">
        <v>143</v>
      </c>
      <c r="D16" s="29" t="s">
        <v>144</v>
      </c>
    </row>
    <row r="20">
      <c r="A20" s="1" t="s">
        <v>84</v>
      </c>
    </row>
    <row r="21">
      <c r="A21" s="1" t="s">
        <v>76</v>
      </c>
      <c r="B21" s="1" t="s">
        <v>77</v>
      </c>
      <c r="C21" s="1" t="s">
        <v>78</v>
      </c>
      <c r="D21" s="1" t="s">
        <v>79</v>
      </c>
    </row>
    <row r="22">
      <c r="A22" s="34" t="s">
        <v>7</v>
      </c>
      <c r="B22" s="34" t="s">
        <v>145</v>
      </c>
      <c r="C22" s="34" t="s">
        <v>146</v>
      </c>
      <c r="D22" s="23" t="s">
        <v>128</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76.0</v>
      </c>
      <c r="C6" s="10">
        <v>113.0</v>
      </c>
      <c r="D6" s="11">
        <f t="shared" ref="D6:D12" si="1">AVERAGE(B6:C6)</f>
        <v>94.5</v>
      </c>
      <c r="E6" s="10">
        <f t="shared" ref="E6:E12" si="2">ROUND(F6*H6,0)</f>
        <v>61</v>
      </c>
      <c r="F6" s="10">
        <f>ROUND(F7 * 0.9,0)</f>
        <v>122</v>
      </c>
      <c r="G6" s="10">
        <f t="shared" ref="G6:G12" si="3">AVERAGE(E6:F6)</f>
        <v>91.5</v>
      </c>
      <c r="H6" s="10">
        <v>0.5</v>
      </c>
    </row>
    <row r="7" ht="22.5" customHeight="1">
      <c r="A7" s="10">
        <v>0.0</v>
      </c>
      <c r="B7" s="10">
        <v>78.0</v>
      </c>
      <c r="C7" s="10">
        <v>120.0</v>
      </c>
      <c r="D7" s="11">
        <f t="shared" si="1"/>
        <v>99</v>
      </c>
      <c r="E7" s="10">
        <f t="shared" si="2"/>
        <v>68</v>
      </c>
      <c r="F7" s="10">
        <v>136.0</v>
      </c>
      <c r="G7" s="10">
        <f t="shared" si="3"/>
        <v>102</v>
      </c>
      <c r="H7" s="10">
        <v>0.5</v>
      </c>
    </row>
    <row r="8" ht="22.5" customHeight="1">
      <c r="A8" s="10">
        <v>1.0</v>
      </c>
      <c r="B8" s="10">
        <v>82.0</v>
      </c>
      <c r="C8" s="10">
        <v>134.0</v>
      </c>
      <c r="D8" s="11">
        <f t="shared" si="1"/>
        <v>108</v>
      </c>
      <c r="E8" s="10">
        <f t="shared" si="2"/>
        <v>75</v>
      </c>
      <c r="F8" s="10">
        <f t="shared" ref="F8:F12" si="4">ROUND(F7*1.1,0)</f>
        <v>150</v>
      </c>
      <c r="G8" s="10">
        <f t="shared" si="3"/>
        <v>112.5</v>
      </c>
      <c r="H8" s="10">
        <v>0.5</v>
      </c>
    </row>
    <row r="9" ht="22.5" customHeight="1">
      <c r="A9" s="10">
        <v>2.0</v>
      </c>
      <c r="B9" s="10">
        <v>86.0</v>
      </c>
      <c r="C9" s="10">
        <v>150.0</v>
      </c>
      <c r="D9" s="11">
        <f t="shared" si="1"/>
        <v>118</v>
      </c>
      <c r="E9" s="10">
        <f t="shared" si="2"/>
        <v>83</v>
      </c>
      <c r="F9" s="10">
        <f t="shared" si="4"/>
        <v>165</v>
      </c>
      <c r="G9" s="10">
        <f t="shared" si="3"/>
        <v>124</v>
      </c>
      <c r="H9" s="10">
        <v>0.5</v>
      </c>
    </row>
    <row r="10" ht="22.5" customHeight="1">
      <c r="A10" s="10">
        <v>3.0</v>
      </c>
      <c r="B10" s="10">
        <v>90.0</v>
      </c>
      <c r="C10" s="10">
        <v>168.0</v>
      </c>
      <c r="D10" s="11">
        <f t="shared" si="1"/>
        <v>129</v>
      </c>
      <c r="E10" s="10">
        <f t="shared" si="2"/>
        <v>91</v>
      </c>
      <c r="F10" s="10">
        <f t="shared" si="4"/>
        <v>182</v>
      </c>
      <c r="G10" s="10">
        <f t="shared" si="3"/>
        <v>136.5</v>
      </c>
      <c r="H10" s="10">
        <v>0.5</v>
      </c>
    </row>
    <row r="11" ht="22.5" customHeight="1">
      <c r="A11" s="10">
        <v>4.0</v>
      </c>
      <c r="B11" s="10">
        <v>95.0</v>
      </c>
      <c r="C11" s="10">
        <v>188.0</v>
      </c>
      <c r="D11" s="11">
        <f t="shared" si="1"/>
        <v>141.5</v>
      </c>
      <c r="E11" s="10">
        <f t="shared" si="2"/>
        <v>100</v>
      </c>
      <c r="F11" s="10">
        <f t="shared" si="4"/>
        <v>200</v>
      </c>
      <c r="G11" s="10">
        <f t="shared" si="3"/>
        <v>150</v>
      </c>
      <c r="H11" s="10">
        <v>0.5</v>
      </c>
    </row>
    <row r="12" ht="16.5" customHeight="1">
      <c r="A12" s="10">
        <v>5.0</v>
      </c>
      <c r="B12" s="10">
        <v>100.0</v>
      </c>
      <c r="C12" s="10">
        <v>211.0</v>
      </c>
      <c r="D12" s="11">
        <f t="shared" si="1"/>
        <v>155.5</v>
      </c>
      <c r="E12" s="10">
        <f t="shared" si="2"/>
        <v>110</v>
      </c>
      <c r="F12" s="10">
        <f t="shared" si="4"/>
        <v>220</v>
      </c>
      <c r="G12" s="10">
        <f t="shared" si="3"/>
        <v>165</v>
      </c>
      <c r="H12" s="10">
        <v>0.5</v>
      </c>
    </row>
    <row r="13" ht="16.5" customHeight="1"/>
    <row r="14">
      <c r="A14" s="6" t="s">
        <v>68</v>
      </c>
      <c r="B14" s="7"/>
      <c r="C14" s="7"/>
      <c r="D14" s="7"/>
    </row>
    <row r="15">
      <c r="A15" s="5" t="s">
        <v>69</v>
      </c>
      <c r="B15" s="5" t="s">
        <v>70</v>
      </c>
      <c r="C15" s="6" t="s">
        <v>71</v>
      </c>
      <c r="D15" s="37" t="s">
        <v>94</v>
      </c>
      <c r="E15" s="1" t="s">
        <v>122</v>
      </c>
    </row>
    <row r="16">
      <c r="A16" s="17" t="s">
        <v>147</v>
      </c>
      <c r="B16" s="17" t="s">
        <v>148</v>
      </c>
      <c r="C16" s="25" t="s">
        <v>149</v>
      </c>
      <c r="D16" s="26" t="s">
        <v>150</v>
      </c>
      <c r="E16" s="1" t="s">
        <v>151</v>
      </c>
    </row>
    <row r="19">
      <c r="L19" s="13"/>
      <c r="M19" s="13"/>
    </row>
    <row r="20">
      <c r="A20" s="1" t="s">
        <v>84</v>
      </c>
    </row>
    <row r="21">
      <c r="A21" s="1" t="s">
        <v>76</v>
      </c>
      <c r="B21" s="1" t="s">
        <v>77</v>
      </c>
      <c r="C21" s="1" t="s">
        <v>78</v>
      </c>
      <c r="D21" s="1" t="s">
        <v>79</v>
      </c>
    </row>
    <row r="22">
      <c r="A22" s="34" t="s">
        <v>13</v>
      </c>
      <c r="B22" s="34" t="s">
        <v>101</v>
      </c>
      <c r="C22" s="34" t="s">
        <v>102</v>
      </c>
      <c r="D22" s="23" t="s">
        <v>106</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109.0</v>
      </c>
      <c r="C6" s="10">
        <v>218.0</v>
      </c>
      <c r="D6" s="11">
        <f t="shared" ref="D6:D12" si="1">AVERAGE(B6:C6)</f>
        <v>163.5</v>
      </c>
      <c r="E6" s="10">
        <f t="shared" ref="E6:E12" si="2">ROUND(F6*H6,0)</f>
        <v>99</v>
      </c>
      <c r="F6" s="10">
        <f>ROUND(F7 * 0.9,0)</f>
        <v>153</v>
      </c>
      <c r="G6" s="10">
        <f t="shared" ref="G6:G12" si="3">AVERAGE(E6:F6)</f>
        <v>126</v>
      </c>
      <c r="H6" s="10">
        <v>0.65</v>
      </c>
    </row>
    <row r="7" ht="22.5" customHeight="1">
      <c r="A7" s="10">
        <v>0.0</v>
      </c>
      <c r="B7" s="10">
        <v>145.0</v>
      </c>
      <c r="C7" s="10">
        <v>185.0</v>
      </c>
      <c r="D7" s="11">
        <f t="shared" si="1"/>
        <v>165</v>
      </c>
      <c r="E7" s="10">
        <f t="shared" si="2"/>
        <v>111</v>
      </c>
      <c r="F7" s="10">
        <v>170.0</v>
      </c>
      <c r="G7" s="10">
        <f t="shared" si="3"/>
        <v>140.5</v>
      </c>
      <c r="H7" s="10">
        <v>0.65</v>
      </c>
    </row>
    <row r="8" ht="22.5" customHeight="1">
      <c r="A8" s="10">
        <v>1.0</v>
      </c>
      <c r="B8" s="10">
        <v>160.0</v>
      </c>
      <c r="C8" s="10">
        <v>204.0</v>
      </c>
      <c r="D8" s="11">
        <f t="shared" si="1"/>
        <v>182</v>
      </c>
      <c r="E8" s="10">
        <f t="shared" si="2"/>
        <v>122</v>
      </c>
      <c r="F8" s="10">
        <f t="shared" ref="F8:F12" si="4">ROUND(F7*1.1,0)</f>
        <v>187</v>
      </c>
      <c r="G8" s="10">
        <f t="shared" si="3"/>
        <v>154.5</v>
      </c>
      <c r="H8" s="10">
        <v>0.65</v>
      </c>
    </row>
    <row r="9" ht="22.5" customHeight="1">
      <c r="A9" s="10">
        <v>2.0</v>
      </c>
      <c r="B9" s="10">
        <v>176.0</v>
      </c>
      <c r="C9" s="10">
        <v>224.0</v>
      </c>
      <c r="D9" s="11">
        <f t="shared" si="1"/>
        <v>200</v>
      </c>
      <c r="E9" s="10">
        <f t="shared" si="2"/>
        <v>134</v>
      </c>
      <c r="F9" s="10">
        <f t="shared" si="4"/>
        <v>206</v>
      </c>
      <c r="G9" s="10">
        <f t="shared" si="3"/>
        <v>170</v>
      </c>
      <c r="H9" s="10">
        <v>0.65</v>
      </c>
    </row>
    <row r="10" ht="22.5" customHeight="1">
      <c r="A10" s="10">
        <v>3.0</v>
      </c>
      <c r="B10" s="10">
        <v>194.0</v>
      </c>
      <c r="C10" s="10">
        <v>246.0</v>
      </c>
      <c r="D10" s="11">
        <f t="shared" si="1"/>
        <v>220</v>
      </c>
      <c r="E10" s="10">
        <f t="shared" si="2"/>
        <v>148</v>
      </c>
      <c r="F10" s="10">
        <f t="shared" si="4"/>
        <v>227</v>
      </c>
      <c r="G10" s="10">
        <f t="shared" si="3"/>
        <v>187.5</v>
      </c>
      <c r="H10" s="10">
        <v>0.65</v>
      </c>
    </row>
    <row r="11" ht="22.5" customHeight="1">
      <c r="A11" s="10">
        <v>4.0</v>
      </c>
      <c r="B11" s="10">
        <v>213.0</v>
      </c>
      <c r="C11" s="10">
        <v>271.0</v>
      </c>
      <c r="D11" s="11">
        <f t="shared" si="1"/>
        <v>242</v>
      </c>
      <c r="E11" s="10">
        <f t="shared" si="2"/>
        <v>163</v>
      </c>
      <c r="F11" s="10">
        <f t="shared" si="4"/>
        <v>250</v>
      </c>
      <c r="G11" s="10">
        <f t="shared" si="3"/>
        <v>206.5</v>
      </c>
      <c r="H11" s="10">
        <v>0.65</v>
      </c>
    </row>
    <row r="12" ht="22.5" customHeight="1">
      <c r="A12" s="10">
        <v>5.0</v>
      </c>
      <c r="B12" s="10">
        <v>234.0</v>
      </c>
      <c r="C12" s="10">
        <v>298.0</v>
      </c>
      <c r="D12" s="11">
        <f t="shared" si="1"/>
        <v>266</v>
      </c>
      <c r="E12" s="10">
        <f t="shared" si="2"/>
        <v>179</v>
      </c>
      <c r="F12" s="10">
        <f t="shared" si="4"/>
        <v>275</v>
      </c>
      <c r="G12" s="10">
        <f t="shared" si="3"/>
        <v>227</v>
      </c>
      <c r="H12" s="10">
        <v>0.65</v>
      </c>
    </row>
    <row r="13" ht="16.5" customHeight="1"/>
    <row r="14">
      <c r="A14" s="6" t="s">
        <v>68</v>
      </c>
      <c r="B14" s="7"/>
      <c r="C14" s="7"/>
      <c r="D14" s="7"/>
    </row>
    <row r="15">
      <c r="A15" s="5" t="s">
        <v>69</v>
      </c>
      <c r="B15" s="5" t="s">
        <v>70</v>
      </c>
      <c r="C15" s="6" t="s">
        <v>71</v>
      </c>
      <c r="D15" s="37" t="s">
        <v>94</v>
      </c>
      <c r="E15" s="1" t="s">
        <v>122</v>
      </c>
    </row>
    <row r="16" ht="135.75" customHeight="1">
      <c r="A16" s="17" t="s">
        <v>152</v>
      </c>
      <c r="B16" s="17" t="s">
        <v>153</v>
      </c>
      <c r="C16" s="25" t="s">
        <v>154</v>
      </c>
      <c r="D16" s="17" t="s">
        <v>155</v>
      </c>
      <c r="E16" s="23" t="s">
        <v>156</v>
      </c>
    </row>
    <row r="17">
      <c r="A17" s="1"/>
      <c r="I17" s="1"/>
    </row>
    <row r="20">
      <c r="A20" s="1" t="s">
        <v>84</v>
      </c>
    </row>
    <row r="21">
      <c r="A21" s="1" t="s">
        <v>76</v>
      </c>
      <c r="B21" s="1" t="s">
        <v>77</v>
      </c>
      <c r="C21" s="1" t="s">
        <v>78</v>
      </c>
      <c r="D21" s="1" t="s">
        <v>79</v>
      </c>
    </row>
    <row r="22">
      <c r="A22" s="34" t="s">
        <v>128</v>
      </c>
      <c r="B22" s="34" t="s">
        <v>101</v>
      </c>
      <c r="C22" s="34" t="s">
        <v>121</v>
      </c>
      <c r="D22" s="23" t="s">
        <v>157</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68</v>
      </c>
      <c r="B14" s="7"/>
      <c r="C14" s="7"/>
      <c r="D14" s="7"/>
    </row>
    <row r="15">
      <c r="A15" s="5" t="s">
        <v>69</v>
      </c>
      <c r="B15" s="5" t="s">
        <v>70</v>
      </c>
      <c r="C15" s="6" t="s">
        <v>71</v>
      </c>
      <c r="D15" s="12" t="s">
        <v>94</v>
      </c>
      <c r="E15" s="1" t="s">
        <v>122</v>
      </c>
    </row>
    <row r="16" ht="150.75" customHeight="1">
      <c r="A16" s="17" t="s">
        <v>85</v>
      </c>
      <c r="B16" s="17" t="s">
        <v>92</v>
      </c>
      <c r="C16" s="25" t="s">
        <v>158</v>
      </c>
      <c r="D16" s="29" t="s">
        <v>159</v>
      </c>
      <c r="E16" s="38" t="s">
        <v>160</v>
      </c>
    </row>
    <row r="17">
      <c r="A17" s="1"/>
    </row>
    <row r="20">
      <c r="A20" s="1" t="s">
        <v>84</v>
      </c>
    </row>
    <row r="21">
      <c r="A21" s="1" t="s">
        <v>76</v>
      </c>
      <c r="B21" s="1" t="s">
        <v>77</v>
      </c>
      <c r="C21" s="1" t="s">
        <v>78</v>
      </c>
      <c r="D21" s="1" t="s">
        <v>79</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59</v>
      </c>
    </row>
    <row r="3">
      <c r="A3" s="5"/>
      <c r="B3" s="6" t="s">
        <v>60</v>
      </c>
      <c r="C3" s="7"/>
      <c r="D3" s="7"/>
      <c r="E3" s="7"/>
      <c r="F3" s="7"/>
      <c r="G3" s="8"/>
      <c r="H3" s="9"/>
    </row>
    <row r="4">
      <c r="A4" s="1"/>
      <c r="B4" s="1"/>
      <c r="C4" s="1"/>
      <c r="D4" s="1"/>
      <c r="E4" s="1"/>
      <c r="F4" s="1"/>
      <c r="G4" s="1"/>
      <c r="H4" s="1"/>
      <c r="T4" s="1"/>
      <c r="U4" s="1"/>
    </row>
    <row r="5" ht="22.5" customHeight="1">
      <c r="A5" s="2" t="s">
        <v>1</v>
      </c>
      <c r="B5" s="2" t="s">
        <v>61</v>
      </c>
      <c r="C5" s="2" t="s">
        <v>62</v>
      </c>
      <c r="D5" s="2" t="s">
        <v>63</v>
      </c>
      <c r="E5" s="2" t="s">
        <v>64</v>
      </c>
      <c r="F5" s="2" t="s">
        <v>65</v>
      </c>
      <c r="G5" s="2" t="s">
        <v>66</v>
      </c>
      <c r="H5" s="2" t="s">
        <v>67</v>
      </c>
    </row>
    <row r="6" ht="22.5" customHeight="1">
      <c r="A6" s="10">
        <v>-1.0</v>
      </c>
      <c r="B6" s="10">
        <v>43.0</v>
      </c>
      <c r="C6" s="10">
        <v>63.0</v>
      </c>
      <c r="D6" s="11">
        <f t="shared" ref="D6:D12" si="1">AVERAGE(B6:C6)</f>
        <v>53</v>
      </c>
      <c r="E6" s="10">
        <f t="shared" ref="E6:E12" si="2">ROUND(F6*H6,0)</f>
        <v>74</v>
      </c>
      <c r="F6" s="10">
        <f>ROUND(F7 * 0.9,0)</f>
        <v>92</v>
      </c>
      <c r="G6" s="10">
        <f t="shared" ref="G6:G12" si="3">AVERAGE(E6:F6)</f>
        <v>83</v>
      </c>
      <c r="H6" s="10">
        <v>0.8</v>
      </c>
    </row>
    <row r="7" ht="22.5" customHeight="1">
      <c r="A7" s="10">
        <v>0.0</v>
      </c>
      <c r="B7" s="10">
        <v>46.0</v>
      </c>
      <c r="C7" s="10">
        <v>68.0</v>
      </c>
      <c r="D7" s="11">
        <f t="shared" si="1"/>
        <v>57</v>
      </c>
      <c r="E7" s="10">
        <f t="shared" si="2"/>
        <v>82</v>
      </c>
      <c r="F7" s="10">
        <v>102.0</v>
      </c>
      <c r="G7" s="10">
        <f t="shared" si="3"/>
        <v>92</v>
      </c>
      <c r="H7" s="10">
        <v>0.8</v>
      </c>
    </row>
    <row r="8" ht="22.5" customHeight="1">
      <c r="A8" s="10">
        <v>1.0</v>
      </c>
      <c r="B8" s="10">
        <v>51.0</v>
      </c>
      <c r="C8" s="10">
        <v>75.0</v>
      </c>
      <c r="D8" s="11">
        <f t="shared" si="1"/>
        <v>63</v>
      </c>
      <c r="E8" s="10">
        <f t="shared" si="2"/>
        <v>90</v>
      </c>
      <c r="F8" s="10">
        <f t="shared" ref="F8:F12" si="4">ROUND(F7*1.1,0)</f>
        <v>112</v>
      </c>
      <c r="G8" s="10">
        <f t="shared" si="3"/>
        <v>101</v>
      </c>
      <c r="H8" s="10">
        <v>0.8</v>
      </c>
    </row>
    <row r="9" ht="22.5" customHeight="1">
      <c r="A9" s="10">
        <v>2.0</v>
      </c>
      <c r="B9" s="10">
        <v>57.0</v>
      </c>
      <c r="C9" s="10">
        <v>83.0</v>
      </c>
      <c r="D9" s="11">
        <f t="shared" si="1"/>
        <v>70</v>
      </c>
      <c r="E9" s="10">
        <f t="shared" si="2"/>
        <v>98</v>
      </c>
      <c r="F9" s="10">
        <f t="shared" si="4"/>
        <v>123</v>
      </c>
      <c r="G9" s="10">
        <f t="shared" si="3"/>
        <v>110.5</v>
      </c>
      <c r="H9" s="10">
        <v>0.8</v>
      </c>
    </row>
    <row r="10" ht="22.5" customHeight="1">
      <c r="A10" s="10">
        <v>3.0</v>
      </c>
      <c r="B10" s="10">
        <v>63.0</v>
      </c>
      <c r="C10" s="10">
        <v>92.0</v>
      </c>
      <c r="D10" s="11">
        <f t="shared" si="1"/>
        <v>77.5</v>
      </c>
      <c r="E10" s="10">
        <f t="shared" si="2"/>
        <v>108</v>
      </c>
      <c r="F10" s="10">
        <f t="shared" si="4"/>
        <v>135</v>
      </c>
      <c r="G10" s="10">
        <f t="shared" si="3"/>
        <v>121.5</v>
      </c>
      <c r="H10" s="10">
        <v>0.8</v>
      </c>
    </row>
    <row r="11" ht="22.5" customHeight="1">
      <c r="A11" s="10">
        <v>4.0</v>
      </c>
      <c r="B11" s="10">
        <v>70.0</v>
      </c>
      <c r="C11" s="10">
        <v>102.0</v>
      </c>
      <c r="D11" s="11">
        <f t="shared" si="1"/>
        <v>86</v>
      </c>
      <c r="E11" s="10">
        <f t="shared" si="2"/>
        <v>119</v>
      </c>
      <c r="F11" s="10">
        <f t="shared" si="4"/>
        <v>149</v>
      </c>
      <c r="G11" s="10">
        <f t="shared" si="3"/>
        <v>134</v>
      </c>
      <c r="H11" s="10">
        <v>0.8</v>
      </c>
    </row>
    <row r="12" ht="22.5" customHeight="1">
      <c r="A12" s="10">
        <v>5.0</v>
      </c>
      <c r="B12" s="10">
        <v>78.0</v>
      </c>
      <c r="C12" s="10">
        <v>113.0</v>
      </c>
      <c r="D12" s="11">
        <f t="shared" si="1"/>
        <v>95.5</v>
      </c>
      <c r="E12" s="10">
        <f t="shared" si="2"/>
        <v>131</v>
      </c>
      <c r="F12" s="10">
        <f t="shared" si="4"/>
        <v>164</v>
      </c>
      <c r="G12" s="10">
        <f t="shared" si="3"/>
        <v>147.5</v>
      </c>
      <c r="H12" s="10">
        <v>0.8</v>
      </c>
    </row>
    <row r="14" ht="11.25" customHeight="1">
      <c r="I14" s="1"/>
    </row>
    <row r="15">
      <c r="A15" s="6" t="s">
        <v>68</v>
      </c>
      <c r="B15" s="7"/>
      <c r="C15" s="8"/>
      <c r="J15" s="1"/>
      <c r="K15" s="1"/>
      <c r="L15" s="1"/>
    </row>
    <row r="16" ht="39.0" customHeight="1">
      <c r="A16" s="5" t="s">
        <v>69</v>
      </c>
      <c r="B16" s="5" t="s">
        <v>70</v>
      </c>
      <c r="C16" s="5" t="s">
        <v>71</v>
      </c>
      <c r="D16" s="1" t="s">
        <v>114</v>
      </c>
      <c r="J16" s="1"/>
      <c r="K16" s="1"/>
      <c r="L16" s="1"/>
    </row>
    <row r="17" ht="138.0" customHeight="1">
      <c r="A17" s="17" t="s">
        <v>161</v>
      </c>
      <c r="B17" s="17" t="s">
        <v>162</v>
      </c>
      <c r="C17" s="17" t="s">
        <v>163</v>
      </c>
      <c r="D17" s="23" t="s">
        <v>164</v>
      </c>
      <c r="J17" s="23"/>
      <c r="K17" s="23"/>
      <c r="L17" s="23"/>
    </row>
    <row r="18">
      <c r="H18" s="1" t="s">
        <v>165</v>
      </c>
    </row>
    <row r="19">
      <c r="O19" s="18"/>
      <c r="P19" s="18"/>
    </row>
    <row r="20">
      <c r="A20" s="1" t="s">
        <v>84</v>
      </c>
      <c r="N20" s="39"/>
    </row>
    <row r="21">
      <c r="A21" s="1" t="s">
        <v>76</v>
      </c>
      <c r="B21" s="1" t="s">
        <v>77</v>
      </c>
      <c r="C21" s="1" t="s">
        <v>78</v>
      </c>
      <c r="D21" s="1" t="s">
        <v>79</v>
      </c>
      <c r="M21" s="39"/>
    </row>
    <row r="22">
      <c r="A22" s="34" t="s">
        <v>121</v>
      </c>
      <c r="B22" s="34" t="s">
        <v>15</v>
      </c>
      <c r="C22" s="34" t="s">
        <v>102</v>
      </c>
      <c r="D22" s="23" t="s">
        <v>101</v>
      </c>
      <c r="M22" s="39"/>
    </row>
    <row r="23">
      <c r="N23" s="39"/>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68</v>
      </c>
      <c r="B17" s="7"/>
      <c r="C17" s="8"/>
    </row>
    <row r="18">
      <c r="A18" s="5" t="s">
        <v>69</v>
      </c>
      <c r="B18" s="5" t="s">
        <v>70</v>
      </c>
      <c r="C18" s="5" t="s">
        <v>71</v>
      </c>
    </row>
    <row r="19">
      <c r="A19" s="17" t="s">
        <v>166</v>
      </c>
      <c r="B19" s="17" t="s">
        <v>167</v>
      </c>
      <c r="C19" s="17" t="s">
        <v>168</v>
      </c>
    </row>
    <row r="20">
      <c r="A20" s="1" t="s">
        <v>84</v>
      </c>
    </row>
    <row r="21">
      <c r="A21" s="1" t="s">
        <v>169</v>
      </c>
      <c r="B21" s="1" t="s">
        <v>170</v>
      </c>
      <c r="C21" s="1" t="s">
        <v>171</v>
      </c>
      <c r="D21" s="1" t="s">
        <v>172</v>
      </c>
    </row>
    <row r="22">
      <c r="A22" s="34" t="s">
        <v>145</v>
      </c>
      <c r="B22" s="34" t="s">
        <v>106</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68</v>
      </c>
      <c r="B16" s="7"/>
      <c r="C16" s="8"/>
    </row>
    <row r="17">
      <c r="A17" s="5" t="s">
        <v>69</v>
      </c>
      <c r="B17" s="5" t="s">
        <v>70</v>
      </c>
      <c r="C17" s="5" t="s">
        <v>71</v>
      </c>
      <c r="I17" s="1"/>
    </row>
    <row r="18">
      <c r="A18" s="17" t="s">
        <v>173</v>
      </c>
      <c r="B18" s="17" t="s">
        <v>174</v>
      </c>
      <c r="C18" s="17" t="s">
        <v>175</v>
      </c>
      <c r="I18" s="1"/>
    </row>
    <row r="19">
      <c r="K19" s="13"/>
    </row>
    <row r="20">
      <c r="A20" s="1" t="s">
        <v>176</v>
      </c>
      <c r="K20" s="13"/>
    </row>
    <row r="21">
      <c r="A21" s="1" t="s">
        <v>169</v>
      </c>
      <c r="B21" s="1" t="s">
        <v>170</v>
      </c>
      <c r="C21" s="1" t="s">
        <v>171</v>
      </c>
      <c r="D21" s="1" t="s">
        <v>172</v>
      </c>
      <c r="J21" s="1" t="s">
        <v>177</v>
      </c>
    </row>
    <row r="22">
      <c r="A22" s="34" t="s">
        <v>112</v>
      </c>
      <c r="B22" s="34" t="s">
        <v>102</v>
      </c>
      <c r="C22" s="34" t="s">
        <v>103</v>
      </c>
      <c r="D22" s="23" t="s">
        <v>34</v>
      </c>
    </row>
    <row r="24">
      <c r="K24" s="19"/>
      <c r="L24" s="19"/>
      <c r="M24" s="19"/>
    </row>
    <row r="25">
      <c r="K25" s="13"/>
      <c r="L25" s="19"/>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68</v>
      </c>
      <c r="B14" s="7"/>
      <c r="C14" s="7"/>
      <c r="D14" s="7"/>
    </row>
    <row r="15">
      <c r="A15" s="5" t="s">
        <v>69</v>
      </c>
      <c r="B15" s="5" t="s">
        <v>70</v>
      </c>
      <c r="C15" s="6" t="s">
        <v>71</v>
      </c>
      <c r="D15" s="5" t="s">
        <v>94</v>
      </c>
    </row>
    <row r="16" ht="59.25" customHeight="1">
      <c r="A16" s="17" t="s">
        <v>85</v>
      </c>
      <c r="B16" s="17" t="s">
        <v>178</v>
      </c>
      <c r="C16" s="25" t="s">
        <v>179</v>
      </c>
      <c r="D16" s="17" t="s">
        <v>180</v>
      </c>
    </row>
    <row r="20">
      <c r="A20" s="1" t="s">
        <v>176</v>
      </c>
    </row>
    <row r="21">
      <c r="A21" s="1" t="s">
        <v>169</v>
      </c>
      <c r="B21" s="1" t="s">
        <v>170</v>
      </c>
      <c r="C21" s="1" t="s">
        <v>171</v>
      </c>
      <c r="D21" s="1" t="s">
        <v>172</v>
      </c>
    </row>
    <row r="22">
      <c r="A22" s="23" t="s">
        <v>181</v>
      </c>
      <c r="B22" s="23" t="s">
        <v>7</v>
      </c>
      <c r="C22" s="23" t="s">
        <v>106</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68</v>
      </c>
      <c r="B14" s="7"/>
      <c r="C14" s="7"/>
    </row>
    <row r="15" ht="29.25" customHeight="1">
      <c r="A15" s="5" t="s">
        <v>69</v>
      </c>
      <c r="B15" s="5" t="s">
        <v>70</v>
      </c>
      <c r="C15" s="6" t="s">
        <v>71</v>
      </c>
      <c r="D15" s="38" t="s">
        <v>182</v>
      </c>
    </row>
    <row r="16">
      <c r="A16" s="17" t="s">
        <v>183</v>
      </c>
      <c r="B16" s="17" t="s">
        <v>85</v>
      </c>
      <c r="C16" s="25" t="s">
        <v>85</v>
      </c>
      <c r="D16" s="38" t="s">
        <v>184</v>
      </c>
    </row>
    <row r="17">
      <c r="A17" s="1"/>
    </row>
    <row r="20">
      <c r="A20" s="1" t="s">
        <v>176</v>
      </c>
    </row>
    <row r="21">
      <c r="A21" s="1" t="s">
        <v>169</v>
      </c>
      <c r="B21" s="1" t="s">
        <v>170</v>
      </c>
      <c r="C21" s="1" t="s">
        <v>171</v>
      </c>
      <c r="D21" s="1" t="s">
        <v>172</v>
      </c>
    </row>
    <row r="22">
      <c r="A22" s="23" t="s">
        <v>101</v>
      </c>
      <c r="B22" s="23" t="s">
        <v>128</v>
      </c>
      <c r="C22" s="23" t="s">
        <v>131</v>
      </c>
      <c r="D22" s="23" t="s">
        <v>185</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59</v>
      </c>
      <c r="C2" s="20"/>
      <c r="D2" s="20"/>
      <c r="E2" s="20"/>
      <c r="F2" s="20"/>
      <c r="G2" s="20"/>
      <c r="H2" s="20"/>
    </row>
    <row r="3" ht="14.25" customHeight="1">
      <c r="A3" s="40"/>
      <c r="B3" s="41" t="s">
        <v>60</v>
      </c>
      <c r="C3" s="7"/>
      <c r="D3" s="7"/>
      <c r="E3" s="7"/>
      <c r="F3" s="7"/>
      <c r="G3" s="8"/>
      <c r="H3" s="42"/>
    </row>
    <row r="4" ht="14.25" customHeight="1">
      <c r="A4" s="43"/>
      <c r="B4" s="43"/>
      <c r="C4" s="43"/>
      <c r="D4" s="43"/>
      <c r="E4" s="43"/>
      <c r="F4" s="43"/>
      <c r="G4" s="44"/>
      <c r="H4" s="44"/>
    </row>
    <row r="5" ht="14.25" customHeight="1">
      <c r="A5" s="45" t="s">
        <v>1</v>
      </c>
      <c r="B5" s="45" t="s">
        <v>61</v>
      </c>
      <c r="C5" s="45" t="s">
        <v>62</v>
      </c>
      <c r="D5" s="45" t="s">
        <v>63</v>
      </c>
      <c r="E5" s="45" t="s">
        <v>64</v>
      </c>
      <c r="F5" s="45" t="s">
        <v>65</v>
      </c>
      <c r="G5" s="46" t="s">
        <v>66</v>
      </c>
      <c r="H5" s="46" t="s">
        <v>67</v>
      </c>
    </row>
    <row r="6" ht="14.25" customHeight="1">
      <c r="A6" s="47">
        <v>-1.0</v>
      </c>
      <c r="B6" s="48">
        <v>85.0</v>
      </c>
      <c r="C6" s="48">
        <v>109.0</v>
      </c>
      <c r="D6" s="49">
        <f t="shared" ref="D6:D12" si="1">AVERAGE(B6:C6)</f>
        <v>97</v>
      </c>
      <c r="E6" s="49">
        <f t="shared" ref="E6:E12" si="2">ROUND(F6*H6,0)</f>
        <v>89</v>
      </c>
      <c r="F6" s="49">
        <f>ROUND(F7 * 0.9,0)</f>
        <v>137</v>
      </c>
      <c r="G6" s="49">
        <f t="shared" ref="G6:G12" si="3">AVERAGE(E6:F6)</f>
        <v>113</v>
      </c>
      <c r="H6" s="48">
        <v>0.65</v>
      </c>
    </row>
    <row r="7" ht="14.25" customHeight="1">
      <c r="A7" s="49">
        <v>0.0</v>
      </c>
      <c r="B7" s="48">
        <v>90.0</v>
      </c>
      <c r="C7" s="48">
        <v>116.0</v>
      </c>
      <c r="D7" s="49">
        <f t="shared" si="1"/>
        <v>103</v>
      </c>
      <c r="E7" s="49">
        <f t="shared" si="2"/>
        <v>99</v>
      </c>
      <c r="F7" s="48">
        <v>152.0</v>
      </c>
      <c r="G7" s="49">
        <f t="shared" si="3"/>
        <v>125.5</v>
      </c>
      <c r="H7" s="48">
        <v>0.65</v>
      </c>
    </row>
    <row r="8" ht="14.25" customHeight="1">
      <c r="A8" s="49">
        <v>1.0</v>
      </c>
      <c r="B8" s="50">
        <v>99.0</v>
      </c>
      <c r="C8" s="50">
        <v>128.0</v>
      </c>
      <c r="D8" s="49">
        <f t="shared" si="1"/>
        <v>113.5</v>
      </c>
      <c r="E8" s="49">
        <f t="shared" si="2"/>
        <v>109</v>
      </c>
      <c r="F8" s="49">
        <f t="shared" ref="F8:F12" si="4">ROUND(F7*1.1,0)</f>
        <v>167</v>
      </c>
      <c r="G8" s="49">
        <f t="shared" si="3"/>
        <v>138</v>
      </c>
      <c r="H8" s="48">
        <v>0.65</v>
      </c>
      <c r="K8" s="1"/>
    </row>
    <row r="9" ht="14.25" customHeight="1">
      <c r="A9" s="49">
        <v>2.0</v>
      </c>
      <c r="B9" s="50">
        <v>109.0</v>
      </c>
      <c r="C9" s="50">
        <v>141.0</v>
      </c>
      <c r="D9" s="49">
        <f t="shared" si="1"/>
        <v>125</v>
      </c>
      <c r="E9" s="49">
        <f t="shared" si="2"/>
        <v>120</v>
      </c>
      <c r="F9" s="49">
        <f t="shared" si="4"/>
        <v>184</v>
      </c>
      <c r="G9" s="49">
        <f t="shared" si="3"/>
        <v>152</v>
      </c>
      <c r="H9" s="48">
        <v>0.65</v>
      </c>
    </row>
    <row r="10" ht="14.25" customHeight="1">
      <c r="A10" s="49">
        <v>3.0</v>
      </c>
      <c r="B10" s="50">
        <v>120.0</v>
      </c>
      <c r="C10" s="50">
        <v>155.0</v>
      </c>
      <c r="D10" s="49">
        <f t="shared" si="1"/>
        <v>137.5</v>
      </c>
      <c r="E10" s="49">
        <f t="shared" si="2"/>
        <v>131</v>
      </c>
      <c r="F10" s="49">
        <f t="shared" si="4"/>
        <v>202</v>
      </c>
      <c r="G10" s="49">
        <f t="shared" si="3"/>
        <v>166.5</v>
      </c>
      <c r="H10" s="48">
        <v>0.65</v>
      </c>
    </row>
    <row r="11" ht="14.25" customHeight="1">
      <c r="A11" s="49">
        <v>4.0</v>
      </c>
      <c r="B11" s="50">
        <v>132.0</v>
      </c>
      <c r="C11" s="50">
        <v>171.0</v>
      </c>
      <c r="D11" s="49">
        <f t="shared" si="1"/>
        <v>151.5</v>
      </c>
      <c r="E11" s="49">
        <f t="shared" si="2"/>
        <v>144</v>
      </c>
      <c r="F11" s="49">
        <f t="shared" si="4"/>
        <v>222</v>
      </c>
      <c r="G11" s="49">
        <f t="shared" si="3"/>
        <v>183</v>
      </c>
      <c r="H11" s="48">
        <v>0.65</v>
      </c>
    </row>
    <row r="12" ht="14.25" customHeight="1">
      <c r="A12" s="49">
        <v>5.0</v>
      </c>
      <c r="B12" s="50">
        <v>145.0</v>
      </c>
      <c r="C12" s="50">
        <v>188.0</v>
      </c>
      <c r="D12" s="49">
        <f t="shared" si="1"/>
        <v>166.5</v>
      </c>
      <c r="E12" s="49">
        <f t="shared" si="2"/>
        <v>159</v>
      </c>
      <c r="F12" s="49">
        <f t="shared" si="4"/>
        <v>244</v>
      </c>
      <c r="G12" s="49">
        <f t="shared" si="3"/>
        <v>201.5</v>
      </c>
      <c r="H12" s="48">
        <v>0.65</v>
      </c>
    </row>
    <row r="13">
      <c r="A13" s="1"/>
    </row>
    <row r="14">
      <c r="A14" s="6" t="s">
        <v>68</v>
      </c>
      <c r="B14" s="7"/>
      <c r="C14" s="7"/>
    </row>
    <row r="15">
      <c r="A15" s="5" t="s">
        <v>69</v>
      </c>
      <c r="B15" s="5" t="s">
        <v>70</v>
      </c>
      <c r="C15" s="6" t="s">
        <v>71</v>
      </c>
      <c r="D15" s="6" t="s">
        <v>94</v>
      </c>
    </row>
    <row r="16">
      <c r="A16" s="17" t="s">
        <v>85</v>
      </c>
      <c r="B16" s="17" t="s">
        <v>85</v>
      </c>
      <c r="C16" s="17" t="s">
        <v>92</v>
      </c>
      <c r="D16" s="17" t="s">
        <v>186</v>
      </c>
    </row>
    <row r="20">
      <c r="A20" s="1" t="s">
        <v>84</v>
      </c>
    </row>
    <row r="21">
      <c r="A21" s="1" t="s">
        <v>169</v>
      </c>
      <c r="B21" s="1" t="s">
        <v>170</v>
      </c>
      <c r="C21" s="1" t="s">
        <v>171</v>
      </c>
      <c r="D21" s="1" t="s">
        <v>172</v>
      </c>
    </row>
    <row r="22">
      <c r="A22" s="23" t="s">
        <v>181</v>
      </c>
      <c r="B22" s="23" t="s">
        <v>101</v>
      </c>
      <c r="C22" s="23" t="s">
        <v>102</v>
      </c>
      <c r="D22" s="23" t="s">
        <v>187</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59</v>
      </c>
      <c r="C2" s="20"/>
      <c r="D2" s="20"/>
      <c r="E2" s="20"/>
      <c r="F2" s="20"/>
      <c r="G2" s="20"/>
      <c r="H2" s="20"/>
    </row>
    <row r="3" ht="15.75" customHeight="1">
      <c r="A3" s="40"/>
      <c r="B3" s="41" t="s">
        <v>60</v>
      </c>
      <c r="C3" s="7"/>
      <c r="D3" s="7"/>
      <c r="E3" s="7"/>
      <c r="F3" s="7"/>
      <c r="G3" s="8"/>
      <c r="H3" s="42"/>
    </row>
    <row r="4" ht="15.75" customHeight="1">
      <c r="A4" s="43"/>
      <c r="B4" s="43"/>
      <c r="C4" s="43"/>
      <c r="D4" s="43"/>
      <c r="E4" s="43"/>
      <c r="F4" s="43"/>
      <c r="G4" s="44"/>
      <c r="H4" s="44"/>
    </row>
    <row r="5" ht="15.75" customHeight="1">
      <c r="A5" s="45" t="s">
        <v>1</v>
      </c>
      <c r="B5" s="45" t="s">
        <v>61</v>
      </c>
      <c r="C5" s="45" t="s">
        <v>62</v>
      </c>
      <c r="D5" s="45" t="s">
        <v>63</v>
      </c>
      <c r="E5" s="45" t="s">
        <v>64</v>
      </c>
      <c r="F5" s="45" t="s">
        <v>65</v>
      </c>
      <c r="G5" s="46" t="s">
        <v>66</v>
      </c>
      <c r="H5" s="46" t="s">
        <v>67</v>
      </c>
    </row>
    <row r="6" ht="15.75" customHeight="1">
      <c r="A6" s="47">
        <v>-1.0</v>
      </c>
      <c r="B6" s="48">
        <v>61.0</v>
      </c>
      <c r="C6" s="48">
        <v>77.0</v>
      </c>
      <c r="D6" s="49">
        <f t="shared" ref="D6:D12" si="1">AVERAGE(B6:C6)</f>
        <v>69</v>
      </c>
      <c r="E6" s="49">
        <f t="shared" ref="E6:E12" si="2">ROUND(F6*H6,0)</f>
        <v>64</v>
      </c>
      <c r="F6" s="49">
        <f>ROUND(F7 * 0.9,0)</f>
        <v>80</v>
      </c>
      <c r="G6" s="49">
        <f t="shared" ref="G6:G12" si="3">AVERAGE(E6:F6)</f>
        <v>72</v>
      </c>
      <c r="H6" s="48">
        <v>0.8</v>
      </c>
    </row>
    <row r="7" ht="15.75" customHeight="1">
      <c r="A7" s="49">
        <v>0.0</v>
      </c>
      <c r="B7" s="48">
        <v>65.0</v>
      </c>
      <c r="C7" s="48">
        <v>83.0</v>
      </c>
      <c r="D7" s="49">
        <f t="shared" si="1"/>
        <v>74</v>
      </c>
      <c r="E7" s="49">
        <f t="shared" si="2"/>
        <v>71</v>
      </c>
      <c r="F7" s="48">
        <v>89.0</v>
      </c>
      <c r="G7" s="49">
        <f t="shared" si="3"/>
        <v>80</v>
      </c>
      <c r="H7" s="48">
        <v>0.8</v>
      </c>
    </row>
    <row r="8" ht="15.75" customHeight="1">
      <c r="A8" s="49">
        <v>1.0</v>
      </c>
      <c r="B8" s="50">
        <v>72.0</v>
      </c>
      <c r="C8" s="50">
        <v>91.0</v>
      </c>
      <c r="D8" s="49">
        <f t="shared" si="1"/>
        <v>81.5</v>
      </c>
      <c r="E8" s="49">
        <f t="shared" si="2"/>
        <v>78</v>
      </c>
      <c r="F8" s="49">
        <f t="shared" ref="F8:F12" si="4">ROUND(F7*1.1,0)</f>
        <v>98</v>
      </c>
      <c r="G8" s="49">
        <f t="shared" si="3"/>
        <v>88</v>
      </c>
      <c r="H8" s="48">
        <v>0.8</v>
      </c>
      <c r="K8" s="1"/>
    </row>
    <row r="9" ht="15.75" customHeight="1">
      <c r="A9" s="49">
        <v>2.0</v>
      </c>
      <c r="B9" s="50">
        <v>79.0</v>
      </c>
      <c r="C9" s="50">
        <v>100.0</v>
      </c>
      <c r="D9" s="49">
        <f t="shared" si="1"/>
        <v>89.5</v>
      </c>
      <c r="E9" s="49">
        <f t="shared" si="2"/>
        <v>86</v>
      </c>
      <c r="F9" s="49">
        <f t="shared" si="4"/>
        <v>108</v>
      </c>
      <c r="G9" s="49">
        <f t="shared" si="3"/>
        <v>97</v>
      </c>
      <c r="H9" s="48">
        <v>0.8</v>
      </c>
    </row>
    <row r="10" ht="15.75" customHeight="1">
      <c r="A10" s="49">
        <v>3.0</v>
      </c>
      <c r="B10" s="50">
        <v>87.0</v>
      </c>
      <c r="C10" s="50">
        <v>110.0</v>
      </c>
      <c r="D10" s="49">
        <f t="shared" si="1"/>
        <v>98.5</v>
      </c>
      <c r="E10" s="49">
        <f t="shared" si="2"/>
        <v>95</v>
      </c>
      <c r="F10" s="49">
        <f t="shared" si="4"/>
        <v>119</v>
      </c>
      <c r="G10" s="49">
        <f t="shared" si="3"/>
        <v>107</v>
      </c>
      <c r="H10" s="48">
        <v>0.8</v>
      </c>
    </row>
    <row r="11" ht="15.75" customHeight="1">
      <c r="A11" s="49">
        <v>4.0</v>
      </c>
      <c r="B11" s="50">
        <v>96.0</v>
      </c>
      <c r="C11" s="50">
        <v>121.0</v>
      </c>
      <c r="D11" s="49">
        <f t="shared" si="1"/>
        <v>108.5</v>
      </c>
      <c r="E11" s="49">
        <f t="shared" si="2"/>
        <v>105</v>
      </c>
      <c r="F11" s="49">
        <f t="shared" si="4"/>
        <v>131</v>
      </c>
      <c r="G11" s="49">
        <f t="shared" si="3"/>
        <v>118</v>
      </c>
      <c r="H11" s="48">
        <v>0.8</v>
      </c>
    </row>
    <row r="12" ht="15.75" customHeight="1">
      <c r="A12" s="51">
        <v>5.0</v>
      </c>
      <c r="B12" s="52">
        <v>106.0</v>
      </c>
      <c r="C12" s="52">
        <v>133.0</v>
      </c>
      <c r="D12" s="49">
        <f t="shared" si="1"/>
        <v>119.5</v>
      </c>
      <c r="E12" s="49">
        <f t="shared" si="2"/>
        <v>115</v>
      </c>
      <c r="F12" s="49">
        <f t="shared" si="4"/>
        <v>144</v>
      </c>
      <c r="G12" s="49">
        <f t="shared" si="3"/>
        <v>129.5</v>
      </c>
      <c r="H12" s="48">
        <v>0.8</v>
      </c>
    </row>
    <row r="13">
      <c r="A13" s="53"/>
      <c r="B13" s="54"/>
      <c r="C13" s="54"/>
      <c r="D13" s="20"/>
      <c r="E13" s="55"/>
      <c r="F13" s="55"/>
      <c r="G13" s="55"/>
      <c r="H13" s="56"/>
    </row>
    <row r="14">
      <c r="A14" s="57" t="s">
        <v>68</v>
      </c>
      <c r="B14" s="58"/>
      <c r="C14" s="58"/>
    </row>
    <row r="15">
      <c r="A15" s="5" t="s">
        <v>69</v>
      </c>
      <c r="B15" s="5" t="s">
        <v>188</v>
      </c>
      <c r="C15" s="6" t="s">
        <v>189</v>
      </c>
      <c r="D15" s="6" t="s">
        <v>94</v>
      </c>
    </row>
    <row r="16">
      <c r="A16" s="17" t="s">
        <v>82</v>
      </c>
      <c r="B16" s="17" t="s">
        <v>85</v>
      </c>
      <c r="C16" s="17" t="s">
        <v>190</v>
      </c>
      <c r="D16" s="17" t="s">
        <v>191</v>
      </c>
    </row>
    <row r="20">
      <c r="A20" s="1" t="s">
        <v>84</v>
      </c>
    </row>
    <row r="21">
      <c r="A21" s="1" t="s">
        <v>169</v>
      </c>
      <c r="B21" s="1" t="s">
        <v>170</v>
      </c>
      <c r="C21" s="1" t="s">
        <v>171</v>
      </c>
      <c r="D21" s="1" t="s">
        <v>172</v>
      </c>
    </row>
    <row r="22">
      <c r="A22" s="23" t="s">
        <v>192</v>
      </c>
      <c r="B22" s="23" t="s">
        <v>5</v>
      </c>
      <c r="C22" s="23" t="s">
        <v>17</v>
      </c>
      <c r="D22" s="23" t="s">
        <v>193</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84.0</v>
      </c>
      <c r="C6" s="10">
        <v>101.0</v>
      </c>
      <c r="D6" s="11">
        <f t="shared" ref="D6:D12" si="1">AVERAGE(B6:C6)</f>
        <v>92.5</v>
      </c>
      <c r="E6" s="10">
        <f t="shared" ref="E6:E12" si="2">ROUND(F6*H6,0)</f>
        <v>79</v>
      </c>
      <c r="F6" s="10">
        <f>ROUND(F7 * 0.9,0)</f>
        <v>99</v>
      </c>
      <c r="G6" s="10">
        <f t="shared" ref="G6:G12" si="3">AVERAGE(E6:F6)</f>
        <v>89</v>
      </c>
      <c r="H6" s="10">
        <v>0.8</v>
      </c>
    </row>
    <row r="7" ht="22.5" customHeight="1">
      <c r="A7" s="10">
        <v>0.0</v>
      </c>
      <c r="B7" s="10">
        <v>91.0</v>
      </c>
      <c r="C7" s="10">
        <v>108.0</v>
      </c>
      <c r="D7" s="11">
        <f t="shared" si="1"/>
        <v>99.5</v>
      </c>
      <c r="E7" s="10">
        <f t="shared" si="2"/>
        <v>88</v>
      </c>
      <c r="F7" s="10">
        <v>110.0</v>
      </c>
      <c r="G7" s="10">
        <f t="shared" si="3"/>
        <v>99</v>
      </c>
      <c r="H7" s="10">
        <v>0.8</v>
      </c>
    </row>
    <row r="8" ht="15.75" customHeight="1">
      <c r="A8" s="10">
        <v>1.0</v>
      </c>
      <c r="B8" s="10">
        <v>101.0</v>
      </c>
      <c r="C8" s="10">
        <v>120.0</v>
      </c>
      <c r="D8" s="11">
        <f t="shared" si="1"/>
        <v>110.5</v>
      </c>
      <c r="E8" s="10">
        <f t="shared" si="2"/>
        <v>97</v>
      </c>
      <c r="F8" s="10">
        <f t="shared" ref="F8:F12" si="4">FLOOR(F7*1.1,1)</f>
        <v>121</v>
      </c>
      <c r="G8" s="10">
        <f t="shared" si="3"/>
        <v>109</v>
      </c>
      <c r="H8" s="10">
        <v>0.8</v>
      </c>
      <c r="K8" s="1"/>
    </row>
    <row r="9" ht="22.5" customHeight="1">
      <c r="A9" s="10">
        <v>2.0</v>
      </c>
      <c r="B9" s="10">
        <v>122.0</v>
      </c>
      <c r="C9" s="10">
        <v>133.0</v>
      </c>
      <c r="D9" s="11">
        <f t="shared" si="1"/>
        <v>127.5</v>
      </c>
      <c r="E9" s="10">
        <f t="shared" si="2"/>
        <v>106</v>
      </c>
      <c r="F9" s="10">
        <f t="shared" si="4"/>
        <v>133</v>
      </c>
      <c r="G9" s="10">
        <f t="shared" si="3"/>
        <v>119.5</v>
      </c>
      <c r="H9" s="10">
        <v>0.8</v>
      </c>
    </row>
    <row r="10" ht="16.5" customHeight="1">
      <c r="A10" s="10">
        <v>3.0</v>
      </c>
      <c r="B10" s="10">
        <v>124.0</v>
      </c>
      <c r="C10" s="10">
        <v>148.0</v>
      </c>
      <c r="D10" s="11">
        <f t="shared" si="1"/>
        <v>136</v>
      </c>
      <c r="E10" s="10">
        <f t="shared" si="2"/>
        <v>117</v>
      </c>
      <c r="F10" s="10">
        <f t="shared" si="4"/>
        <v>146</v>
      </c>
      <c r="G10" s="10">
        <f t="shared" si="3"/>
        <v>131.5</v>
      </c>
      <c r="H10" s="10">
        <v>0.8</v>
      </c>
    </row>
    <row r="11" ht="16.5" customHeight="1">
      <c r="A11" s="10">
        <v>4.0</v>
      </c>
      <c r="B11" s="10">
        <v>138.0</v>
      </c>
      <c r="C11" s="10">
        <v>164.0</v>
      </c>
      <c r="D11" s="11">
        <f t="shared" si="1"/>
        <v>151</v>
      </c>
      <c r="E11" s="10">
        <f t="shared" si="2"/>
        <v>128</v>
      </c>
      <c r="F11" s="10">
        <f t="shared" si="4"/>
        <v>160</v>
      </c>
      <c r="G11" s="10">
        <f t="shared" si="3"/>
        <v>144</v>
      </c>
      <c r="H11" s="10">
        <v>0.8</v>
      </c>
    </row>
    <row r="12" ht="22.5" customHeight="1">
      <c r="A12" s="10">
        <v>5.0</v>
      </c>
      <c r="B12" s="10">
        <v>153.0</v>
      </c>
      <c r="C12" s="10">
        <v>182.0</v>
      </c>
      <c r="D12" s="11">
        <f t="shared" si="1"/>
        <v>167.5</v>
      </c>
      <c r="E12" s="10">
        <f t="shared" si="2"/>
        <v>141</v>
      </c>
      <c r="F12" s="10">
        <f t="shared" si="4"/>
        <v>176</v>
      </c>
      <c r="G12" s="10">
        <f t="shared" si="3"/>
        <v>158.5</v>
      </c>
      <c r="H12" s="10">
        <v>0.8</v>
      </c>
    </row>
    <row r="13">
      <c r="A13" s="6"/>
      <c r="B13" s="6"/>
      <c r="C13" s="6"/>
    </row>
    <row r="14">
      <c r="A14" s="6" t="s">
        <v>68</v>
      </c>
      <c r="B14" s="7"/>
      <c r="C14" s="8"/>
    </row>
    <row r="15">
      <c r="A15" s="5" t="s">
        <v>69</v>
      </c>
      <c r="B15" s="5" t="s">
        <v>70</v>
      </c>
      <c r="C15" s="5" t="s">
        <v>71</v>
      </c>
    </row>
    <row r="16">
      <c r="A16" s="17" t="s">
        <v>194</v>
      </c>
      <c r="B16" s="17" t="s">
        <v>92</v>
      </c>
      <c r="C16" s="17" t="s">
        <v>195</v>
      </c>
    </row>
    <row r="20">
      <c r="A20" s="1" t="s">
        <v>84</v>
      </c>
    </row>
    <row r="21">
      <c r="A21" s="1" t="s">
        <v>169</v>
      </c>
      <c r="B21" s="1" t="s">
        <v>170</v>
      </c>
      <c r="C21" s="1" t="s">
        <v>171</v>
      </c>
      <c r="D21" s="1" t="s">
        <v>172</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59</v>
      </c>
      <c r="C2" s="20"/>
      <c r="D2" s="20"/>
      <c r="E2" s="20"/>
      <c r="F2" s="20"/>
      <c r="G2" s="20"/>
      <c r="H2" s="20"/>
    </row>
    <row r="3" ht="15.75" customHeight="1">
      <c r="A3" s="40"/>
      <c r="B3" s="41" t="s">
        <v>60</v>
      </c>
      <c r="C3" s="7"/>
      <c r="D3" s="7"/>
      <c r="E3" s="7"/>
      <c r="F3" s="7"/>
      <c r="G3" s="8"/>
      <c r="H3" s="42"/>
    </row>
    <row r="4" ht="15.75" customHeight="1">
      <c r="A4" s="43"/>
      <c r="B4" s="43"/>
      <c r="C4" s="43"/>
      <c r="D4" s="43"/>
      <c r="E4" s="43"/>
      <c r="F4" s="43"/>
      <c r="G4" s="44"/>
      <c r="H4" s="44"/>
    </row>
    <row r="5" ht="15.75" customHeight="1">
      <c r="A5" s="45" t="s">
        <v>1</v>
      </c>
      <c r="B5" s="45" t="s">
        <v>61</v>
      </c>
      <c r="C5" s="45" t="s">
        <v>62</v>
      </c>
      <c r="D5" s="45" t="s">
        <v>63</v>
      </c>
      <c r="E5" s="45" t="s">
        <v>64</v>
      </c>
      <c r="F5" s="45" t="s">
        <v>65</v>
      </c>
      <c r="G5" s="46" t="s">
        <v>66</v>
      </c>
      <c r="H5" s="46" t="s">
        <v>67</v>
      </c>
    </row>
    <row r="6" ht="15.75" customHeight="1">
      <c r="A6" s="47">
        <v>-1.0</v>
      </c>
      <c r="B6" s="48">
        <v>84.0</v>
      </c>
      <c r="C6" s="48">
        <v>117.0</v>
      </c>
      <c r="D6" s="49">
        <f t="shared" ref="D6:D12" si="1">AVERAGE(B6:C6)</f>
        <v>100.5</v>
      </c>
      <c r="E6" s="47">
        <f t="shared" ref="E6:E12" si="2">ROUND(F6*H6,0)</f>
        <v>68</v>
      </c>
      <c r="F6" s="49">
        <f>ROUND(F7 * 0.9,0)</f>
        <v>135</v>
      </c>
      <c r="G6" s="49">
        <f t="shared" ref="G6:G12" si="3">AVERAGE(E6:F6)</f>
        <v>101.5</v>
      </c>
      <c r="H6" s="48">
        <v>0.5</v>
      </c>
    </row>
    <row r="7" ht="15.75" customHeight="1">
      <c r="A7" s="49">
        <v>0.0</v>
      </c>
      <c r="B7" s="48">
        <v>89.0</v>
      </c>
      <c r="C7" s="48">
        <v>124.0</v>
      </c>
      <c r="D7" s="49">
        <f t="shared" si="1"/>
        <v>106.5</v>
      </c>
      <c r="E7" s="47">
        <f t="shared" si="2"/>
        <v>75</v>
      </c>
      <c r="F7" s="48">
        <v>150.0</v>
      </c>
      <c r="G7" s="49">
        <f t="shared" si="3"/>
        <v>112.5</v>
      </c>
      <c r="H7" s="48">
        <v>0.5</v>
      </c>
    </row>
    <row r="8" ht="15.75" customHeight="1">
      <c r="A8" s="49">
        <v>1.0</v>
      </c>
      <c r="B8" s="50">
        <v>93.0</v>
      </c>
      <c r="C8" s="50">
        <v>130.0</v>
      </c>
      <c r="D8" s="49">
        <f t="shared" si="1"/>
        <v>111.5</v>
      </c>
      <c r="E8" s="47">
        <f t="shared" si="2"/>
        <v>83</v>
      </c>
      <c r="F8" s="49">
        <f t="shared" ref="F8:F12" si="4">ROUND(F7*1.1,0)</f>
        <v>165</v>
      </c>
      <c r="G8" s="49">
        <f t="shared" si="3"/>
        <v>124</v>
      </c>
      <c r="H8" s="48">
        <v>0.5</v>
      </c>
      <c r="K8" s="1"/>
    </row>
    <row r="9" ht="15.75" customHeight="1">
      <c r="A9" s="49">
        <v>2.0</v>
      </c>
      <c r="B9" s="50">
        <v>103.0</v>
      </c>
      <c r="C9" s="50">
        <v>144.0</v>
      </c>
      <c r="D9" s="49">
        <f t="shared" si="1"/>
        <v>123.5</v>
      </c>
      <c r="E9" s="47">
        <f t="shared" si="2"/>
        <v>91</v>
      </c>
      <c r="F9" s="49">
        <f t="shared" si="4"/>
        <v>182</v>
      </c>
      <c r="G9" s="49">
        <f t="shared" si="3"/>
        <v>136.5</v>
      </c>
      <c r="H9" s="48">
        <v>0.5</v>
      </c>
    </row>
    <row r="10" ht="15.75" customHeight="1">
      <c r="A10" s="49">
        <v>3.0</v>
      </c>
      <c r="B10" s="50">
        <v>114.0</v>
      </c>
      <c r="C10" s="50">
        <v>160.0</v>
      </c>
      <c r="D10" s="49">
        <f t="shared" si="1"/>
        <v>137</v>
      </c>
      <c r="E10" s="47">
        <f t="shared" si="2"/>
        <v>100</v>
      </c>
      <c r="F10" s="49">
        <f t="shared" si="4"/>
        <v>200</v>
      </c>
      <c r="G10" s="49">
        <f t="shared" si="3"/>
        <v>150</v>
      </c>
      <c r="H10" s="48">
        <v>0.5</v>
      </c>
    </row>
    <row r="11" ht="15.75" customHeight="1">
      <c r="A11" s="49">
        <v>4.0</v>
      </c>
      <c r="B11" s="50">
        <v>127.0</v>
      </c>
      <c r="C11" s="50">
        <v>178.0</v>
      </c>
      <c r="D11" s="49">
        <f t="shared" si="1"/>
        <v>152.5</v>
      </c>
      <c r="E11" s="47">
        <f t="shared" si="2"/>
        <v>110</v>
      </c>
      <c r="F11" s="49">
        <f t="shared" si="4"/>
        <v>220</v>
      </c>
      <c r="G11" s="49">
        <f t="shared" si="3"/>
        <v>165</v>
      </c>
      <c r="H11" s="48">
        <v>0.5</v>
      </c>
    </row>
    <row r="12" ht="15.75" customHeight="1">
      <c r="A12" s="51">
        <v>5.0</v>
      </c>
      <c r="B12" s="52">
        <v>141.0</v>
      </c>
      <c r="C12" s="52">
        <v>198.0</v>
      </c>
      <c r="D12" s="49">
        <f t="shared" si="1"/>
        <v>169.5</v>
      </c>
      <c r="E12" s="47">
        <f t="shared" si="2"/>
        <v>121</v>
      </c>
      <c r="F12" s="49">
        <f t="shared" si="4"/>
        <v>242</v>
      </c>
      <c r="G12" s="49">
        <f t="shared" si="3"/>
        <v>181.5</v>
      </c>
      <c r="H12" s="48">
        <v>0.5</v>
      </c>
    </row>
    <row r="13">
      <c r="A13" s="53"/>
      <c r="B13" s="54"/>
      <c r="C13" s="54"/>
      <c r="D13" s="20"/>
      <c r="E13" s="55"/>
      <c r="F13" s="55"/>
      <c r="G13" s="55"/>
      <c r="H13" s="56"/>
    </row>
    <row r="14">
      <c r="A14" s="57" t="s">
        <v>68</v>
      </c>
      <c r="B14" s="58"/>
      <c r="C14" s="58"/>
    </row>
    <row r="15">
      <c r="A15" s="5" t="s">
        <v>69</v>
      </c>
      <c r="B15" s="5" t="s">
        <v>196</v>
      </c>
      <c r="C15" s="6" t="s">
        <v>197</v>
      </c>
      <c r="D15" s="6" t="s">
        <v>94</v>
      </c>
      <c r="E15" s="5" t="s">
        <v>122</v>
      </c>
    </row>
    <row r="16" ht="109.5" customHeight="1">
      <c r="A16" s="17" t="s">
        <v>198</v>
      </c>
      <c r="B16" s="17" t="s">
        <v>85</v>
      </c>
      <c r="C16" s="17" t="s">
        <v>199</v>
      </c>
      <c r="D16" s="17" t="s">
        <v>200</v>
      </c>
      <c r="E16" s="17" t="s">
        <v>201</v>
      </c>
    </row>
    <row r="17">
      <c r="D17" s="1"/>
    </row>
    <row r="20">
      <c r="A20" s="1" t="s">
        <v>84</v>
      </c>
    </row>
    <row r="21">
      <c r="A21" s="1" t="s">
        <v>169</v>
      </c>
      <c r="B21" s="1" t="s">
        <v>170</v>
      </c>
      <c r="C21" s="1" t="s">
        <v>171</v>
      </c>
      <c r="D21" s="1" t="s">
        <v>172</v>
      </c>
    </row>
    <row r="22">
      <c r="A22" s="34" t="s">
        <v>101</v>
      </c>
      <c r="B22" s="34" t="s">
        <v>8</v>
      </c>
      <c r="C22" s="34" t="s">
        <v>7</v>
      </c>
      <c r="D22" s="23" t="s">
        <v>35</v>
      </c>
    </row>
  </sheetData>
  <mergeCells count="2">
    <mergeCell ref="B3:G3"/>
    <mergeCell ref="A14:C14"/>
  </mergeCells>
  <drawing r:id="rId1"/>
  <tableParts count="1">
    <tablePart r:id="rId3"/>
  </tableParts>
</worksheet>
</file>