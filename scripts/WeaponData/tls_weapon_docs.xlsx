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Shortbow" sheetId="13" r:id="rId17"/>
    <sheet state="visible" name="Longbow" sheetId="14" r:id="rId18"/>
    <sheet state="visible" name="Hand crossbow" sheetId="15" r:id="rId19"/>
    <sheet state="visible" name="Crossbow" sheetId="16" r:id="rId20"/>
    <sheet state="visible" name="Pistol"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tc={f35cbef9-fcab-4d7f-9a25-4dff764ed457}</author>
  </authors>
  <commentList>
    <comment authorId="0" xr:uid="{f35cbef9-fcab-4d7f-9a25-4dff764ed457}"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tc={abf57531-fe53-4153-9b33-efe5a1294878}</author>
  </authors>
  <commentList>
    <comment authorId="0" xr:uid="{abf57531-fe53-4153-9b33-efe5a1294878}"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tc={ff72e8c8-1f6e-4809-bd0e-ba3751e7e183}</author>
  </authors>
  <commentList>
    <comment authorId="0" xr:uid="{ff72e8c8-1f6e-4809-bd0e-ba3751e7e183}"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tc={76b15ef4-692c-45d5-b8a6-3d8b869b40b0}</author>
  </authors>
  <commentList>
    <comment authorId="0" xr:uid="{76b15ef4-692c-45d5-b8a6-3d8b869b40b0}"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tc={7d104aae-6050-47b8-ac57-acbc6cc9fd65}</author>
    <author>tc={cf56037e-c79d-4fbf-8991-06d185a395eb}</author>
  </authors>
  <commentList>
    <comment authorId="0" xr:uid="{7d104aae-6050-47b8-ac57-acbc6cc9fd65}"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 authorId="1" xr:uid="{cf56037e-c79d-4fbf-8991-06d185a395eb}"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tc={511c779b-1e78-40c6-bb66-976bd4d43f02}</author>
  </authors>
  <commentList>
    <comment authorId="0" xr:uid="{511c779b-1e78-40c6-bb66-976bd4d43f02}"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tc={6820dbbc-40df-4cde-aeeb-9c49ce85835c}</author>
    <author>tc={b2f07633-908c-4907-8101-39c12bd18e15}</author>
  </authors>
  <commentList>
    <comment authorId="0" xr:uid="{6820dbbc-40df-4cde-aeeb-9c49ce85835c}"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 authorId="1" xr:uid="{b2f07633-908c-4907-8101-39c12bd18e15}"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tc={4ad6a11f-5b59-4ff3-9758-6ef8185a2b8e}</author>
  </authors>
  <commentList>
    <comment authorId="0" xr:uid="{4ad6a11f-5b59-4ff3-9758-6ef8185a2b8e}"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tc={605a6c15-60d8-47cc-9e42-b7c67599c073}</author>
  </authors>
  <commentList>
    <comment authorId="0" xr:uid="{605a6c15-60d8-47cc-9e42-b7c67599c073}"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tc={1f34de69-baab-4250-a06f-5f8f4551750a}</author>
    <author>tc={5453c5f2-89ac-47b5-bebb-876352e841f1}</author>
    <author>tc={c696671e-a183-403c-9748-f20e2f681dd1}</author>
    <author>tc={d911fed8-b024-4c62-895e-6dff0c71276c}</author>
  </authors>
  <commentList>
    <comment authorId="0" xr:uid="{1f34de69-baab-4250-a06f-5f8f4551750a}"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1" xr:uid="{5453c5f2-89ac-47b5-bebb-876352e841f1}"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2" xr:uid="{c696671e-a183-403c-9748-f20e2f681dd1}"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3" xr:uid="{d911fed8-b024-4c62-895e-6dff0c71276c}"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tc={621b87ad-59d0-4348-b424-ca20bcb615d3}</author>
  </authors>
  <commentList>
    <comment authorId="0" xr:uid="{621b87ad-59d0-4348-b424-ca20bcb615d3}"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tc={273615d4-87e6-4f96-9541-f08b71d39408}</author>
  </authors>
  <commentList>
    <comment authorId="0" xr:uid="{273615d4-87e6-4f96-9541-f08b71d39408}"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tc={2ae98e7e-3764-4b6f-a2f3-7dc9f67de11c}</author>
  </authors>
  <commentList>
    <comment authorId="0" xr:uid="{2ae98e7e-3764-4b6f-a2f3-7dc9f67de11c}"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<sst xmlns="http://schemas.openxmlformats.org/spreadsheetml/2006/main" count="812" uniqueCount="204">
  <si>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</si>
  <si>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</si>
  <si>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</si>
  <si>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</si>
  <si>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</si>
  <si>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</si>
  <si>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</si>
  <si>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</si>
  <si>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</si>
  <si>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</si>
  <si>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</si>
  <si>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</si>
  <si>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</si>
  <si>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</si>
  <si>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</si>
  <si>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</si>
  <si>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</si>
  <si>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</si>
  <si>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</si>
  <si>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6;2</t>
  </si>
  <si>
    <t>40;8</t>
  </si>
  <si>
    <t>7;2</t>
  </si>
  <si>
    <t>48;9</t>
  </si>
  <si>
    <t>8;3</t>
  </si>
  <si>
    <t>56;10</t>
  </si>
  <si>
    <t>9;3</t>
  </si>
  <si>
    <t>64;12</t>
  </si>
  <si>
    <t>10;4</t>
  </si>
  <si>
    <t>72;14</t>
  </si>
  <si>
    <t>12;4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</si>
  <si>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</si>
  <si>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</si>
  <si>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</si>
  <si>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</si>
  <si>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</si>
  <si>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</si>
  <si>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</si>
  <si>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</si>
  <si>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</si>
  <si>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50;16</t>
  </si>
  <si>
    <t>1;7</t>
  </si>
  <si>
    <t>42;6</t>
  </si>
  <si>
    <t>60;19</t>
  </si>
  <si>
    <t>1;8</t>
  </si>
  <si>
    <t>50;7</t>
  </si>
  <si>
    <t>14;5</t>
  </si>
  <si>
    <t>70;22</t>
  </si>
  <si>
    <t>2;9</t>
  </si>
  <si>
    <t>57;8</t>
  </si>
  <si>
    <t>16;6</t>
  </si>
  <si>
    <t>80;25</t>
  </si>
  <si>
    <t>2;10</t>
  </si>
  <si>
    <t>63;9</t>
  </si>
  <si>
    <t>18;7</t>
  </si>
  <si>
    <t>90;28</t>
  </si>
  <si>
    <t>2;12</t>
  </si>
  <si>
    <t>70;10</t>
  </si>
  <si>
    <t>20;8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</si>
  <si>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</si>
  <si>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</si>
  <si>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</si>
  <si>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</si>
  <si>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</si>
  <si>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</si>
  <si>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</si>
  <si>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</si>
  <si>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</si>
  <si>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</si>
  <si>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</si>
  <si>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</si>
  <si>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</si>
  <si>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</si>
  <si>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</si>
  <si>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 xml:space="preserve"> +1 range, dmg mod to 1.7x from 1.6x</t>
  </si>
  <si>
    <t>-1 mana cost, +1 range, dmg mod to 1.7x from 1.6x</t>
  </si>
  <si>
    <t>Variants:</t>
  </si>
  <si>
    <t>Steel</t>
  </si>
  <si>
    <t>silver</t>
  </si>
  <si>
    <t>mythril</t>
  </si>
  <si>
    <t>adamantium</t>
  </si>
  <si>
    <t>Move points;Dodge</t>
  </si>
  <si>
    <t>now aplies -15% resistance debuff for 1 turn</t>
  </si>
  <si>
    <t xml:space="preserve"> +1 use</t>
  </si>
  <si>
    <t>Increase stun chance to 125 on the main tile, secondary damage mod to 0.66x from 0.5x</t>
  </si>
  <si>
    <t>Variants</t>
  </si>
  <si>
    <t>No changes</t>
  </si>
  <si>
    <t>Now has a 3x3 aoe, centered around the bottom-center tile</t>
  </si>
  <si>
    <t>dmg mod to 1.6x from 1.4x</t>
  </si>
  <si>
    <t>New skill 2 aoe</t>
  </si>
  <si>
    <t>Base stat penalties/bonuses</t>
  </si>
  <si>
    <t>Refreshes +2 move points</t>
  </si>
  <si>
    <t>dmg mod to 1.6x</t>
  </si>
  <si>
    <t>no changes</t>
  </si>
  <si>
    <t>Remove them</t>
  </si>
  <si>
    <t>Skill 4</t>
  </si>
  <si>
    <t xml:space="preserve"> +1 move restore</t>
  </si>
  <si>
    <t xml:space="preserve"> +5 base momentum</t>
  </si>
  <si>
    <t xml:space="preserve"> +5 base momentum, Remove movement cost, increase mana cost to 3</t>
  </si>
  <si>
    <t>Resistance reduction</t>
  </si>
  <si>
    <t>Physical damage</t>
  </si>
  <si>
    <t xml:space="preserve"> +1 use, +1 base prop bounce</t>
  </si>
  <si>
    <t>opportunism</t>
  </si>
  <si>
    <t>stun chance</t>
  </si>
  <si>
    <t>propagation damage</t>
  </si>
  <si>
    <t xml:space="preserve">Now gives   -12/11/12/13/14/18 dodge debuff to ALL tiles for 2 turns instead of -2 move points for 1 turn to secondary tiles </t>
  </si>
  <si>
    <t>accuracy</t>
  </si>
  <si>
    <t>reliability</t>
  </si>
  <si>
    <t>critical</t>
  </si>
  <si>
    <t>new skill 1 aoe</t>
  </si>
  <si>
    <t>Added a 4th primary tile</t>
  </si>
  <si>
    <t>dmg mod to 1.15x</t>
  </si>
  <si>
    <t>physical damage</t>
  </si>
  <si>
    <t>momentum</t>
  </si>
  <si>
    <t>New Skill 3 aoe:</t>
  </si>
  <si>
    <t>Perk:</t>
  </si>
  <si>
    <t>Damage modifier to 1.2x, block buff to 10-15 for 1 turn</t>
  </si>
  <si>
    <t>-1 use per turn, New AOE, main tile damage mod to 1.1x, side tile damage mod to 0.55, debuff to -50% damage for 1 turn</t>
  </si>
  <si>
    <t>damage modifier to 1.45x, Mana cost to 5</t>
  </si>
  <si>
    <t>Damage bonus when getting hit increased to 12% from 8%, decreased maximum bonus to 60%</t>
  </si>
  <si>
    <t>-20% dodge from -10%</t>
  </si>
  <si>
    <t>block</t>
  </si>
  <si>
    <t>resistance reduction</t>
  </si>
  <si>
    <t>Perk</t>
  </si>
  <si>
    <t>Physical damage buff to 10-15% from 8-12%</t>
  </si>
  <si>
    <t>DMG mod to 1.5x from 0.8x, no longer has isolation multiplier 1.5x</t>
  </si>
  <si>
    <t>Dmg mod to 1.8x from 1.6x</t>
  </si>
  <si>
    <t>Decrease the damage penalty to -35%, decrease the amount of isolated hits needed to activate the perk to 2</t>
  </si>
  <si>
    <t>CriticalPower</t>
  </si>
  <si>
    <t>isolation</t>
  </si>
  <si>
    <t>added isolation modifier 1.35x</t>
  </si>
  <si>
    <t xml:space="preserve"> -1 skill range, now has armor piercing, damage mod to 1.65x</t>
  </si>
  <si>
    <t>damage mod to 1.15x, +1 use</t>
  </si>
  <si>
    <t>damage mod increased to 1.85x</t>
  </si>
  <si>
    <t>xp gain</t>
  </si>
  <si>
    <t>skill range</t>
  </si>
  <si>
    <t>Remove isolation multiplier, add 1.25x opportunist multiplier, -2 range, -1 use</t>
  </si>
  <si>
    <t>Effect changed to: -20/22/24/26/28/30 dodge, - 40-60 block, Purge all buffs, -2 range</t>
  </si>
  <si>
    <t>-2 range</t>
  </si>
  <si>
    <t>-2 range, +1 mana cost</t>
  </si>
  <si>
    <t>Remove the -10% reliability</t>
  </si>
  <si>
    <t>Reworked to: a skill: Slow death, 1ap, deals base damage and inflicts 50 additional poison for 2 turns. 4 uses per turn</t>
  </si>
  <si>
    <t>Reworked to: Quickshot: 2 ap, 4 multihits
2 uses, inaccurate 2x, 1.15x damage modifier</t>
  </si>
  <si>
    <t>poison damage</t>
  </si>
  <si>
    <t>Replaced resistance debuff with -1 movement debuff, -1 use</t>
  </si>
  <si>
    <t xml:space="preserve"> +1 use  </t>
  </si>
  <si>
    <t>Range 3-10 to 1-8</t>
  </si>
  <si>
    <t>steel</t>
  </si>
  <si>
    <t>ranged damage</t>
  </si>
  <si>
    <t>Base</t>
  </si>
  <si>
    <t>Base momentum to 25 from 20</t>
  </si>
  <si>
    <t>base dmg mod to 1.35x, Increased isolation modifier to 1.5x</t>
  </si>
  <si>
    <t>Dmg mod to 1.45x from 1.35x</t>
  </si>
  <si>
    <t>Removed the +15% crit damage modifier</t>
  </si>
  <si>
    <t>Switches with skill 2, Dmg mod to 0.8x, gains propagation x3, Range to 1-5</t>
  </si>
  <si>
    <t>switches places with skill 1, Dmg mod to 1.0x, no longer has opportunism multiplier</t>
  </si>
  <si>
    <t>DMG mod to 0.3x from 0.2x</t>
  </si>
  <si>
    <t>Reworked to: 2 uses, 1 ap 2 mana, 2 move points, damage mod: 1.25x, 1.5x isolation multiplier, 1.5x opportunism multiplier.</t>
  </si>
  <si>
    <t>Remove the -1 move speed penalty</t>
  </si>
  <si>
    <t>propagation bounces</t>
  </si>
  <si>
    <t>Reworked to: 2 uses per turn, 1 ap 2 mana, damage mod 1,15x, No longer deals damage on side tiles, the main tile now gets momentum 20% and no longer stuns</t>
  </si>
  <si>
    <t>Damage mod increased to 1.0x</t>
  </si>
  <si>
    <t xml:space="preserve">Increased fireblast damage from 82-130 to 225-225 and it scales with hero level BUT
- The base hp cost gets increased to 9, hp per point decreased to 1
- Using the fire blast sets heat to 0
- Decreased Cooldown per turn to 4
</t>
  </si>
  <si>
    <t>Reworked to: 1 ap non-multihit skill with 70% base stun chance. 5 uses</t>
  </si>
  <si>
    <t>New AOE, 3 uses, main damage modifier to 1.3x, Removed stun and added a 12-18% accuracy debuff on the main tile and 10-15 accuracy debuff on the secondary tile</t>
  </si>
  <si>
    <t>Damage mod to 1.5x, Costs 8 mana, main tiles also have a chance to stun for 60%</t>
  </si>
  <si>
    <t>Reworked to: Strong throw: After the hero Damages 4 enemies boomerang skills, for the next boomerang's skill, side tiles become main tiles, precision targeting gets 3 propagation</t>
  </si>
  <si>
    <t>Skill 2 AOE</t>
  </si>
  <si>
    <t>Now grants a 8-12%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</si>
  <si>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</si>
  <si>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</si>
  <si>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</si>
  <si>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</si>
  <si>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</si>
  <si>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</si>
  <si>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</si>
  <si>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3 uses, melee range, 1.2x damage mod, 1 ap 1 mana cost, refreshes 4 move points, debuffs accuracy by 16-24% </t>
  </si>
  <si>
    <t xml:space="preserve">Stun chance increased to 70% </t>
  </si>
  <si>
    <t>variants</t>
  </si>
  <si>
    <t>Skill 2 aoe</t>
  </si>
  <si>
    <t>-2 prop bounces</t>
  </si>
  <si>
    <t>DMG mod to 1.35x from 1.3x</t>
  </si>
  <si>
    <t>DMG mod to 1.6x from 1.4x, -1 prop bounce</t>
  </si>
  <si>
    <t>magic damage</t>
  </si>
  <si>
    <t>Base Health penalty</t>
  </si>
  <si>
    <t>Now also grants +12% poison damage for 1 turn</t>
  </si>
  <si>
    <t>Remove it</t>
  </si>
  <si>
    <t xml:space="preserve">Mana;Mana Regen
</t>
  </si>
  <si>
    <t xml:space="preserve"> +1 range</t>
  </si>
  <si>
    <t>DMG mod to 1.1x from 1.2x</t>
  </si>
  <si>
    <t xml:space="preserve">Move Points;Dodge
</t>
  </si>
  <si>
    <t>Skill 2 (entangle)</t>
  </si>
  <si>
    <t>Skill 3 (acid spray)</t>
  </si>
  <si>
    <t>-1 mana cost. Effect changed to: -20/22/24/26/28/30 dodge, - 40-60 block, Purge all buffs</t>
  </si>
  <si>
    <t>Poison damage to 35 from 30</t>
  </si>
  <si>
    <t>Mana;Mana regen</t>
  </si>
  <si>
    <t xml:space="preserve">opportunism
</t>
  </si>
  <si>
    <t>opportunist multiplier decreased to 1.4x from 1.6x</t>
  </si>
  <si>
    <t>Increase damage mod from 1.25x to 1.6x, mana cost to 7 from 6</t>
  </si>
  <si>
    <t xml:space="preserve">Skill 2 </t>
  </si>
  <si>
    <t xml:space="preserve">Skill 3 </t>
  </si>
  <si>
    <t>No longer poisons the main tile, but has momentum 20</t>
  </si>
  <si>
    <t>Costs 2 ap 1 mana, dmg mod to 1.7 from 1.3, deals 0.3 damage on side tiles and applies 100% stun chance</t>
  </si>
  <si>
    <t>Now purges all removable statuses instead of just buffs</t>
  </si>
  <si>
    <t>Decrease the plague poison scaling from 3 +1 per 3 hero levels to 3 + 1 per 4 hero levels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</si>
</sst>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s>
  <fills count="7">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8" fillId="0" fontId="1" numFmtId="0" xfId="0" applyAlignment="1" applyBorder="1" applyFont="1">
      <alignment readingOrder="0"/>
    </xf>
    <xf borderId="0" fillId="3" fontId="3" numFmtId="0" xfId="0" applyFont="1"/>
    <xf borderId="0" fillId="0" fontId="1" numFmtId="0" xfId="0" applyAlignment="1" applyFont="1">
      <alignment readingOrder="0" vertical="top"/>
    </xf>
    <xf borderId="0" fillId="6" fontId="1" numFmtId="0" xfId="0" applyFill="1"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8948441c-d842-4f3c-9c50-2ad5b856c8e5}" providerId="google-sheets"/>
  <x18tc:person displayName="ellaris clavis" id="{90431e96-c977-475c-92a6-fcf33846b6f2}" providerId="google-sheets"/>
  <x18tc:person displayName="Abigail" id="{748f9916-6baf-412e-9238-dea8e6c0ceee}"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4" name="Tabela14"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4.xml><?xml version="1.0" encoding="utf-8"?>
<table xmlns="http://schemas.openxmlformats.org/spreadsheetml/2006/main" ref="A5:H12" displayName="Tabela15" name="Tabela15"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5.xml><?xml version="1.0" encoding="utf-8"?>
<table xmlns="http://schemas.openxmlformats.org/spreadsheetml/2006/main" ref="A5:H12" displayName="Tabela11" name="Tabela11"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6.xml><?xml version="1.0" encoding="utf-8"?>
<table xmlns="http://schemas.openxmlformats.org/spreadsheetml/2006/main" ref="A5:H12" displayName="Tabela12" name="Tabela12"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7.xml><?xml version="1.0" encoding="utf-8"?>
<table xmlns="http://schemas.openxmlformats.org/spreadsheetml/2006/main" ref="A5:H12" displayName="Tabela13" name="Tabela13"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90431e96-c977-475c-92a6-fcf33846b6f2}" id="{f35cbef9-fcab-4d7f-9a25-4dff764ed457}" done="1">
    <x18tc:text xml:space="preserve">This feels like it makes the hammer a ranged weapon</x18tc:text>
  </x18tc:threadedComment>
  <x18tc:threadedComment ref="A18" dT="2026-01-18T16:37:24.00" personId="{8948441c-d842-4f3c-9c50-2ad5b856c8e5}" id="{a13f5d76-9c3e-4904-85d7-68a147f83e3e}" parentId="{f35cbef9-fcab-4d7f-9a25-4dff764ed457}">
    <x18tc:text xml:space="preserve">Why? do you mean the +1 use on the skill 2?</x18tc:text>
  </x18tc:threadedComment>
  <x18tc:threadedComment ref="A18" dT="2026-01-18T17:38:03.00" personId="{90431e96-c977-475c-92a6-fcf33846b6f2}" id="{9e8e9b0e-ff18-4952-8aed-b2c948e180da}" parentId="{f35cbef9-fcab-4d7f-9a25-4dff764ed457}">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8948441c-d842-4f3c-9c50-2ad5b856c8e5}" id="{18186ded-c618-4dec-8aba-207ea520db2e}" parentId="{f35cbef9-fcab-4d7f-9a25-4dff764ed457}">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90431e96-c977-475c-92a6-fcf33846b6f2}" id="{abf57531-fe53-4153-9b33-efe5a1294878}" done="1">
    <x18tc:text xml:space="preserve">not sure if this is enough to make it feel good?
at least make skill 1 able to target ground</x18tc:text>
  </x18tc:threadedComment>
  <x18tc:threadedComment ref="D18" dT="2026-01-18T16:39:59.00" personId="{8948441c-d842-4f3c-9c50-2ad5b856c8e5}" id="{2ba47908-a364-485e-9e8a-8d03b1e8becb}" parentId="{abf57531-fe53-4153-9b33-efe5a1294878}">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748f9916-6baf-412e-9238-dea8e6c0ceee}" id="{3e8ba42f-b400-41ac-a2c3-05583d3d116e}" parentId="{abf57531-fe53-4153-9b33-efe5a1294878}">
    <x18tc:text xml:space="preserve">the movement cost on skill 4 is my biggest criticism of 2h sword, so this is a change I agree with</x18tc:text>
  </x18tc:threadedComment>
  <x18tc:threadedComment ref="D18" dT="2026-01-18T17:36:04.00" personId="{90431e96-c977-475c-92a6-fcf33846b6f2}" id="{73d9206a-219b-400c-8d2e-1f8d44b14543}" parentId="{abf57531-fe53-4153-9b33-efe5a1294878}">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748f9916-6baf-412e-9238-dea8e6c0ceee}" id="{c5e76d55-6430-4d79-b8aa-327a7bfb26f4}" parentId="{abf57531-fe53-4153-9b33-efe5a1294878}">
    <x18tc:text xml:space="preserve">Skill 1 doesn't change the damage of skill 4? And why would killing with it matter?</x18tc:text>
  </x18tc:threadedComment>
  <x18tc:threadedComment ref="D18" dT="2026-01-18T18:41:53.00" personId="{90431e96-c977-475c-92a6-fcf33846b6f2}" id="{579e9f07-7d72-4190-8f8b-937dc33e9647}" parentId="{abf57531-fe53-4153-9b33-efe5a1294878}">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748f9916-6baf-412e-9238-dea8e6c0ceee}" id="{a2c86bc0-f36b-4f8c-9cfe-98afb0a3ee7a}" parentId="{abf57531-fe53-4153-9b33-efe5a1294878}">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748f9916-6baf-412e-9238-dea8e6c0ceee}" id="{ff72e8c8-1f6e-4809-bd0e-ba3751e7e183}" done="1">
    <x18tc:text xml:space="preserve">I'd also make it apply the debuff to the main target tile</x18tc:text>
  </x18tc:threadedComment>
  <x18tc:threadedComment ref="B15" dT="2026-01-18T17:30:14.00" personId="{8948441c-d842-4f3c-9c50-2ad5b856c8e5}" id="{ef6c2c50-3f5a-41b7-b9a8-e14a17cdd358}" parentId="{ff72e8c8-1f6e-4809-bd0e-ba3751e7e183}">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90431e96-c977-475c-92a6-fcf33846b6f2}" id="{76b15ef4-692c-45d5-b8a6-3d8b869b40b0}"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8948441c-d842-4f3c-9c50-2ad5b856c8e5}" id="{83ccf48e-a9ad-4f67-90be-f12c9523f25c}" parentId="{76b15ef4-692c-45d5-b8a6-3d8b869b40b0}">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90431e96-c977-475c-92a6-fcf33846b6f2}" id="{47452b51-af12-4634-a6cc-5e971eaeacd8}" parentId="{76b15ef4-692c-45d5-b8a6-3d8b869b40b0}">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8948441c-d842-4f3c-9c50-2ad5b856c8e5}" id="{55b576bc-6641-42e3-ad8a-8255121b0f8d}" parentId="{76b15ef4-692c-45d5-b8a6-3d8b869b40b0}">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90431e96-c977-475c-92a6-fcf33846b6f2}" id="{7d104aae-6050-47b8-ac57-acbc6cc9fd65}" done="1">
    <x18tc:text xml:space="preserve">I'm not sure about the -dodge if it's really necessary.
would be possible to increase the skills damage by block amount?</x18tc:text>
  </x18tc:threadedComment>
  <x18tc:threadedComment ref="B18" dT="2026-01-18T15:32:34.00" personId="{8948441c-d842-4f3c-9c50-2ad5b856c8e5}" id="{01737a75-aa80-42cb-829f-cf513aeab92e}" parentId="{7d104aae-6050-47b8-ac57-acbc6cc9fd65}">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90431e96-c977-475c-92a6-fcf33846b6f2}" id="{cf56037e-c79d-4fbf-8991-06d185a395eb}" done="1">
    <x18tc:text xml:space="preserve">could make the steel grant block and this one give movement, since it's light and you like to position yourself with it</x18tc:text>
  </x18tc:threadedComment>
  <x18tc:threadedComment ref="C22" dT="2026-01-18T15:33:33.00" personId="{8948441c-d842-4f3c-9c50-2ad5b856c8e5}" id="{b99f3a86-e1ca-4d11-b3be-1207b706c38f}" parentId="{cf56037e-c79d-4fbf-8991-06d185a395eb}">
    <x18tc:text xml:space="preserve">That's an option, although few weapons make sense with +armor, so i wanted war shield to have it.</x18tc:text>
  </x18tc:threadedComment>
  <x18tc:threadedComment ref="C22" dT="2026-01-18T17:47:05.00" personId="{90431e96-c977-475c-92a6-fcf33846b6f2}" id="{b20d5c5b-274a-4cb4-b94b-1db61a7961e6}" parentId="{cf56037e-c79d-4fbf-8991-06d185a395eb}">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8948441c-d842-4f3c-9c50-2ad5b856c8e5}" id="{299c9386-1afe-4683-8327-c455578ff863}" parentId="{cf56037e-c79d-4fbf-8991-06d185a395eb}">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90431e96-c977-475c-92a6-fcf33846b6f2}" id="{511c779b-1e78-40c6-bb66-976bd4d43f02}" done="1">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8948441c-d842-4f3c-9c50-2ad5b856c8e5}" id="{2ff6f81d-a70d-4cab-9441-621045af72f7}" parentId="{511c779b-1e78-40c6-bb66-976bd4d43f02}">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90431e96-c977-475c-92a6-fcf33846b6f2}" id="{48a82e84-b9a9-4c2f-b8b8-a574a71c510d}" parentId="{511c779b-1e78-40c6-bb66-976bd4d43f02}">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8948441c-d842-4f3c-9c50-2ad5b856c8e5}" id="{c7cf6e77-e0a9-4bf8-88e5-a57fbf38ac5e}" parentId="{511c779b-1e78-40c6-bb66-976bd4d43f02}">
    <x18tc:text xml:space="preserve">Shortbow has 8 base range, that is not low. It also has only 1 use of a debuff skill compared to longbow's 4.</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90431e96-c977-475c-92a6-fcf33846b6f2}" id="{b2f07633-908c-4907-8101-39c12bd18e15}" done="1">
    <x18tc:text xml:space="preserve">I don't think dealing damage and applying poison at the same time makes too much sense</x18tc:text>
  </x18tc:threadedComment>
  <x18tc:threadedComment ref="A17" dT="2026-01-18T16:50:22.00" personId="{8948441c-d842-4f3c-9c50-2ad5b856c8e5}" id="{7fc0a4d4-6165-4877-be29-bd972bdf0c87}" parentId="{b2f07633-908c-4907-8101-39c12bd18e15}">
    <x18tc:text xml:space="preserve">Why not? Orb does it, Sacred flower does it, bee sting does it.</x18tc:text>
  </x18tc:threadedComment>
  <x18tc:threadedComment ref="A17" dT="2026-01-18T17:08:00.00" personId="{8948441c-d842-4f3c-9c50-2ad5b856c8e5}" id="{2bcb9fab-3b24-4f44-ad22-12547bd3e36e}" parentId="{b2f07633-908c-4907-8101-39c12bd18e15}">
    <x18tc:text xml:space="preserve">Also dagger skill 3 does it</x18tc:text>
  </x18tc:threadedComment>
  <x18tc:threadedComment ref="A17" dT="2026-01-18T17:10:54.00" personId="{748f9916-6baf-412e-9238-dea8e6c0ceee}" id="{fd2a94a1-26f5-4e0c-a608-885cd9ac654a}" parentId="{b2f07633-908c-4907-8101-39c12bd18e15}">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8948441c-d842-4f3c-9c50-2ad5b856c8e5}" id="{1322c92b-c888-407c-96b9-9117460f4c58}" parentId="{b2f07633-908c-4907-8101-39c12bd18e15}">
    <x18tc:text xml:space="preserve">I think the skill will remain fine, keeping it unchanged for now.</x18tc:text>
  </x18tc:threadedComment>
  <x18tc:threadedComment ref="B17" dT="2026-01-18T16:06:10.00" personId="{90431e96-c977-475c-92a6-fcf33846b6f2}" id="{6820dbbc-40df-4cde-aeeb-9c49ce85835c}" done="1">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8948441c-d842-4f3c-9c50-2ad5b856c8e5}" id="{97d8a11a-7301-4f50-8b1e-0bf37ea05c8a}" parentId="{6820dbbc-40df-4cde-aeeb-9c49ce85835c}">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748f9916-6baf-412e-9238-dea8e6c0ceee}" id="{468b980a-24b9-4ce7-a7ae-b09b017ccd8b}" parentId="{6820dbbc-40df-4cde-aeeb-9c49ce85835c}">
    <x18tc:text xml:space="preserve">I think manaless but no opp would be better, it feels weird for a non magic weapon to use mana on skill 2
but yeah, 2 uses is the important balancing aspect</x18tc:text>
  </x18tc:threadedComment>
  <x18tc:threadedComment ref="B17" dT="2026-01-18T17:24:17.00" personId="{90431e96-c977-475c-92a6-fcf33846b6f2}" id="{daf8b0af-04fc-4c11-9860-a83aeaf64df3}" parentId="{6820dbbc-40df-4cde-aeeb-9c49ce85835c}">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8948441c-d842-4f3c-9c50-2ad5b856c8e5}" id="{35d30e0f-ef8f-4629-8fc7-543fb657e7db}" parentId="{6820dbbc-40df-4cde-aeeb-9c49ce85835c}">
    <x18tc:text xml:space="preserve">That's why i tried to give it opp, to focus more on the debuff/poison
But I've removed opp and mana cost, and gave opp to blaze instead.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90431e96-c977-475c-92a6-fcf33846b6f2}" id="{4ad6a11f-5b59-4ff3-9758-6ef8185a2b8e}" done="1">
    <x18tc:text xml:space="preserve">I kinda liked the old one, not a fan of these changes</x18tc:text>
  </x18tc:threadedComment>
  <x18tc:threadedComment ref="A18" dT="2026-01-18T15:30:26.00" personId="{8948441c-d842-4f3c-9c50-2ad5b856c8e5}" id="{9dcc08a4-d730-46fe-a14f-f0596c5cbe56}" parentId="{4ad6a11f-5b59-4ff3-9758-6ef8185a2b8e}">
    <x18tc:text xml:space="preserve">I can revert the skill 2 and 4 changes but I do think the -res debuff should go to the hammer, not crossbow</x18tc:text>
  </x18tc:threadedComment>
  <x18tc:threadedComment ref="A18" dT="2026-01-18T17:07:25.00" personId="{748f9916-6baf-412e-9238-dea8e6c0ceee}" id="{529c0fdc-58fd-4c4c-abc2-4da4f08a443a}" parentId="{4ad6a11f-5b59-4ff3-9758-6ef8185a2b8e}">
    <x18tc:text xml:space="preserve">I almost think that crossbow just doesn't need any debuffs. Debuffs and using opportunism doesn't need to be something that every single weapon can do?</x18tc:text>
  </x18tc:threadedComment>
  <x18tc:threadedComment ref="A18" dT="2026-01-18T17:27:25.00" personId="{8948441c-d842-4f3c-9c50-2ad5b856c8e5}" id="{7657da97-1c27-4316-be54-515fa51bffcd}" parentId="{4ad6a11f-5b59-4ff3-9758-6ef8185a2b8e}">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90431e96-c977-475c-92a6-fcf33846b6f2}" id="{7ee07c33-a0a6-413d-ba15-6cbd0d8b2aa9}" parentId="{4ad6a11f-5b59-4ff3-9758-6ef8185a2b8e}">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8948441c-d842-4f3c-9c50-2ad5b856c8e5}" id="{4af96394-a910-4d0e-9f54-39cf82c09141}" parentId="{4ad6a11f-5b59-4ff3-9758-6ef8185a2b8e}">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90431e96-c977-475c-92a6-fcf33846b6f2}" id="{605a6c15-60d8-47cc-9e42-b7c67599c073}" done="1">
    <x18tc:text xml:space="preserve">I feel like it might need more damage, unless base damage already covers that, but pistol always felt weak for me</x18tc:text>
  </x18tc:threadedComment>
  <x18tc:threadedComment ref="C16" dT="2026-01-18T16:49:52.00" personId="{8948441c-d842-4f3c-9c50-2ad5b856c8e5}" id="{cfd10344-a2c7-4e86-81b7-e588080c7e55}" parentId="{605a6c15-60d8-47cc-9e42-b7c67599c073}">
    <x18tc:text xml:space="preserve">I think the base damage covers that well enough. It's one of the better skill 3s anyway.</x18tc:text>
  </x18tc:threadedComment>
  <x18tc:threadedComment ref="C16" dT="2026-01-18T17:09:06.00" personId="{748f9916-6baf-412e-9238-dea8e6c0ceee}" id="{5a811c17-a3a5-49b4-8b8f-2b6db9f26d84}" parentId="{605a6c15-60d8-47cc-9e42-b7c67599c073}">
    <x18tc:text xml:space="preserve">grape shot is a very good skill, a base damage increase would improve it early and then late game it becomes great with proximity shot</x18tc:text>
  </x18tc:threadedComment>
  <x18tc:threadedComment ref="C16" dT="2026-01-18T17:26:05.00" personId="{90431e96-c977-475c-92a6-fcf33846b6f2}" id="{cbf7e634-9feb-4e92-be18-04868411daff}" parentId="{605a6c15-60d8-47cc-9e42-b7c67599c073}">
    <x18tc:text xml:space="preserve">yeah, I don't play with many "ranged" perks, since they tend to be ranged damage specific and kinda weird overall, the other perks are definitely more universal</x18tc:text>
  </x18tc:threadedComment>
  <x18tc:threadedComment ref="C16" dT="2026-01-18T18:06:28.00" personId="{748f9916-6baf-412e-9238-dea8e6c0ceee}" id="{99e83d25-10c9-45b6-a48b-81e1a6d0a687}" parentId="{605a6c15-60d8-47cc-9e42-b7c67599c073}">
    <x18tc:text xml:space="preserve">Proximity shot is the only one that's ranged damage specific, and it's a very very good perk</x18tc:text>
  </x18tc:threadedComment>
  <x18tc:threadedComment ref="C16" dT="2026-01-18T18:37:49.00" personId="{90431e96-c977-475c-92a6-fcf33846b6f2}" id="{8e29f024-9d27-4693-975d-95e6e6ada42e}" parentId="{605a6c15-60d8-47cc-9e42-b7c67599c073}">
    <x18tc:text xml:space="preserve">maybe it's just me who likes to kill enemies at range with ranged damage instead of in melee :p</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90431e96-c977-475c-92a6-fcf33846b6f2}" id="{1f34de69-baab-4250-a06f-5f8f4551750a}" done="1">
    <x18tc:text xml:space="preserve">I think it could reduce armor or resistance as well as move instead of extra damage</x18tc:text>
  </x18tc:threadedComment>
  <x18tc:threadedComment ref="C16" dT="2026-01-18T16:46:04.00" personId="{8948441c-d842-4f3c-9c50-2ad5b856c8e5}" id="{0266ea4a-a2b5-4b24-b54e-a55b640d0144}" parentId="{1f34de69-baab-4250-a06f-5f8f4551750a}">
    <x18tc:text xml:space="preserve">This is only to compensate for the damage nerf really, I think the skill itself is fine. 10 targets is a lot.</x18tc:text>
  </x18tc:threadedComment>
  <x18tc:threadedComment ref="D16" dT="2026-01-18T16:00:36.00" personId="{90431e96-c977-475c-92a6-fcf33846b6f2}" id="{c696671e-a183-403c-9748-f20e2f681dd1}" done="1">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8948441c-d842-4f3c-9c50-2ad5b856c8e5}" id="{c061a3e1-7c2f-4184-b787-3733b7c38f1f}" parentId="{c696671e-a183-403c-9748-f20e2f681dd1}">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90431e96-c977-475c-92a6-fcf33846b6f2}" id="{8e701af7-91a3-46a5-9a8a-8d41980ef1de}" parentId="{c696671e-a183-403c-9748-f20e2f681dd1}">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8948441c-d842-4f3c-9c50-2ad5b856c8e5}" id="{9f180522-3604-49ce-8615-44305b001600}" parentId="{c696671e-a183-403c-9748-f20e2f681dd1}">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90431e96-c977-475c-92a6-fcf33846b6f2}" id="{d911fed8-b024-4c62-895e-6dff0c71276c}"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8948441c-d842-4f3c-9c50-2ad5b856c8e5}" id="{1e8723f7-0f9e-4463-89d9-02147e6677db}" parentId="{d911fed8-b024-4c62-895e-6dff0c71276c}">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90431e96-c977-475c-92a6-fcf33846b6f2}" id="{5453c5f2-89ac-47b5-bebb-876352e841f1}" done="1">
    <x18tc:text xml:space="preserve">I think the opportunism fits here</x18tc:text>
  </x18tc:threadedComment>
  <x18tc:threadedComment ref="B16" dT="2026-01-18T16:45:26.00" personId="{8948441c-d842-4f3c-9c50-2ad5b856c8e5}" id="{f2880056-1a55-4256-a0e3-0d1afd782d06}" parentId="{5453c5f2-89ac-47b5-bebb-876352e841f1}">
    <x18tc:text xml:space="preserve">Maybe, but i put opportunism on assassinate instead. This is basically a strict buff, since 0.7 * 1.25 = 0.875</x18tc:text>
  </x18tc:threadedComment>
  <x18tc:threadedComment ref="B16" dT="2026-01-18T18:40:17.00" personId="{90431e96-c977-475c-92a6-fcf33846b6f2}" id="{f4fed0cf-b601-4557-9ee1-9ead487ba318}" parentId="{5453c5f2-89ac-47b5-bebb-876352e841f1}">
    <x18tc:text xml:space="preserve">it can't have 2 sources of opportunitism like power staff?</x18tc:text>
  </x18tc:threadedComment>
  <x18tc:threadedComment ref="B16" dT="2026-01-18T19:25:30.00" personId="{8948441c-d842-4f3c-9c50-2ad5b856c8e5}" id="{537b4da2-db93-4c09-a3ec-a274a5d625ee}" parentId="{5453c5f2-89ac-47b5-bebb-876352e841f1}">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90431e96-c977-475c-92a6-fcf33846b6f2}" id="{621b87ad-59d0-4348-b424-ca20bcb615d3}"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8948441c-d842-4f3c-9c50-2ad5b856c8e5}" id="{8194c50c-4d09-4562-ba26-c87632d6e3aa}" parentId="{621b87ad-59d0-4348-b424-ca20bcb615d3}">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90431e96-c977-475c-92a6-fcf33846b6f2}" id="{b0f11879-bfb9-4749-a7db-a115235d852b}" parentId="{621b87ad-59d0-4348-b424-ca20bcb615d3}">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8948441c-d842-4f3c-9c50-2ad5b856c8e5}" id="{019089fe-d31c-420a-9692-2e14f81e83a8}" parentId="{621b87ad-59d0-4348-b424-ca20bcb615d3}">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90431e96-c977-475c-92a6-fcf33846b6f2}" id="{273615d4-87e6-4f96-9541-f08b71d39408}" done="1">
    <x18tc:text xml:space="preserve">I would just make the buff skill have higher range, increase momentum and scale movement 2/3/4/5</x18tc:text>
  </x18tc:threadedComment>
  <x18tc:threadedComment ref="B18" dT="2026-01-18T16:56:30.00" personId="{8948441c-d842-4f3c-9c50-2ad5b856c8e5}" id="{541e456e-dfc2-48ac-88e3-a0fcf91e213e}" parentId="{273615d4-87e6-4f96-9541-f08b71d39408}">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90431e96-c977-475c-92a6-fcf33846b6f2}" id="{2ae98e7e-3764-4b6f-a2f3-7dc9f67de11c}" done="1">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8948441c-d842-4f3c-9c50-2ad5b856c8e5}" id="{f9e27ccc-a787-42a2-b7bb-79ec5f08ffb6}" parentId="{2ae98e7e-3764-4b6f-a2f3-7dc9f67de11c}">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90431e96-c977-475c-92a6-fcf33846b6f2}" id="{b1e3025c-66f8-4f06-8956-ffbee40b9313}" parentId="{2ae98e7e-3764-4b6f-a2f3-7dc9f67de11c}">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8948441c-d842-4f3c-9c50-2ad5b856c8e5}" id="{3ef30ccf-74cb-4094-b334-254323ffa406}" parentId="{2ae98e7e-3764-4b6f-a2f3-7dc9f67de11c}">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5.xml"/><Relationship Id="rId5" Type="http://schemas.openxmlformats.org/officeDocument/2006/relationships/vmlDrawing" Target="../drawings/vmlDrawing7.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6.xml"/><Relationship Id="rId5" Type="http://schemas.openxmlformats.org/officeDocument/2006/relationships/vmlDrawing" Target="../drawings/vmlDrawing8.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7.xml"/><Relationship Id="rId5" Type="http://schemas.openxmlformats.org/officeDocument/2006/relationships/vmlDrawing" Target="../drawings/vmlDrawing9.vml"/><Relationship Id="rId7"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5.0</v>
      </c>
      <c r="D9" s="4">
        <v>5.0</v>
      </c>
      <c r="E9" s="4">
        <v>5.0</v>
      </c>
      <c r="F9" s="4">
        <v>7.0</v>
      </c>
      <c r="G9" s="4" t="s">
        <v>19</v>
      </c>
      <c r="H9" s="4" t="s">
        <v>20</v>
      </c>
      <c r="I9" s="4">
        <v>15.0</v>
      </c>
      <c r="J9" s="4">
        <v>6.0</v>
      </c>
      <c r="K9" s="4">
        <v>7.0</v>
      </c>
      <c r="L9" s="4">
        <v>7.0</v>
      </c>
      <c r="M9" s="4">
        <v>6.0</v>
      </c>
      <c r="N9" s="4">
        <v>7.0</v>
      </c>
      <c r="O9" s="4">
        <v>6.0</v>
      </c>
      <c r="P9" s="4">
        <v>15.0</v>
      </c>
      <c r="Q9" s="4">
        <v>15.0</v>
      </c>
      <c r="R9" s="4">
        <v>15.0</v>
      </c>
    </row>
    <row r="10" ht="22.5" customHeight="1">
      <c r="A10" s="4">
        <v>1.0</v>
      </c>
      <c r="B10" s="4">
        <v>6.0</v>
      </c>
      <c r="C10" s="4">
        <v>6.0</v>
      </c>
      <c r="D10" s="4">
        <v>6.0</v>
      </c>
      <c r="E10" s="4">
        <v>6.0</v>
      </c>
      <c r="F10" s="4">
        <v>8.0</v>
      </c>
      <c r="G10" s="4" t="s">
        <v>21</v>
      </c>
      <c r="H10" s="4" t="s">
        <v>22</v>
      </c>
      <c r="I10" s="4">
        <v>18.0</v>
      </c>
      <c r="J10" s="4">
        <v>7.0</v>
      </c>
      <c r="K10" s="4">
        <v>8.0</v>
      </c>
      <c r="L10" s="4">
        <v>8.0</v>
      </c>
      <c r="M10" s="4">
        <v>7.0</v>
      </c>
      <c r="N10" s="4">
        <v>8.0</v>
      </c>
      <c r="O10" s="4">
        <v>7.0</v>
      </c>
      <c r="P10" s="4">
        <v>18.0</v>
      </c>
      <c r="Q10" s="4">
        <v>18.0</v>
      </c>
      <c r="R10" s="4">
        <v>18.0</v>
      </c>
    </row>
    <row r="11" ht="22.5" customHeight="1">
      <c r="A11" s="4">
        <v>2.0</v>
      </c>
      <c r="B11" s="4">
        <v>7.0</v>
      </c>
      <c r="C11" s="4">
        <v>7.0</v>
      </c>
      <c r="D11" s="4">
        <v>7.0</v>
      </c>
      <c r="E11" s="4">
        <v>7.0</v>
      </c>
      <c r="F11" s="4">
        <v>9.0</v>
      </c>
      <c r="G11" s="4" t="s">
        <v>23</v>
      </c>
      <c r="H11" s="4" t="s">
        <v>24</v>
      </c>
      <c r="I11" s="4">
        <v>21.0</v>
      </c>
      <c r="J11" s="4">
        <v>8.0</v>
      </c>
      <c r="K11" s="4">
        <v>9.0</v>
      </c>
      <c r="L11" s="4">
        <v>9.0</v>
      </c>
      <c r="M11" s="4">
        <v>8.0</v>
      </c>
      <c r="N11" s="4">
        <v>9.0</v>
      </c>
      <c r="O11" s="4">
        <v>8.0</v>
      </c>
      <c r="P11" s="4">
        <v>21.0</v>
      </c>
      <c r="Q11" s="4">
        <v>21.0</v>
      </c>
      <c r="R11" s="4">
        <v>21.0</v>
      </c>
    </row>
    <row r="12" ht="22.5" customHeight="1">
      <c r="A12" s="4">
        <v>3.0</v>
      </c>
      <c r="B12" s="4">
        <v>8.0</v>
      </c>
      <c r="C12" s="4">
        <v>8.0</v>
      </c>
      <c r="D12" s="4">
        <v>8.0</v>
      </c>
      <c r="E12" s="4">
        <v>8.0</v>
      </c>
      <c r="F12" s="4">
        <v>11.0</v>
      </c>
      <c r="G12" s="4" t="s">
        <v>25</v>
      </c>
      <c r="H12" s="4" t="s">
        <v>26</v>
      </c>
      <c r="I12" s="4">
        <v>24.0</v>
      </c>
      <c r="J12" s="4">
        <v>9.0</v>
      </c>
      <c r="K12" s="4">
        <v>11.0</v>
      </c>
      <c r="L12" s="4">
        <v>11.0</v>
      </c>
      <c r="M12" s="4">
        <v>9.0</v>
      </c>
      <c r="N12" s="4">
        <v>11.0</v>
      </c>
      <c r="O12" s="4">
        <v>9.0</v>
      </c>
      <c r="P12" s="4">
        <v>24.0</v>
      </c>
      <c r="Q12" s="4">
        <v>24.0</v>
      </c>
      <c r="R12" s="4">
        <v>24.0</v>
      </c>
    </row>
    <row r="13" ht="22.5" customHeight="1">
      <c r="A13" s="4">
        <v>4.0</v>
      </c>
      <c r="B13" s="4">
        <v>9.0</v>
      </c>
      <c r="C13" s="4">
        <v>9.0</v>
      </c>
      <c r="D13" s="4">
        <v>9.0</v>
      </c>
      <c r="E13" s="4">
        <v>9.0</v>
      </c>
      <c r="F13" s="4">
        <v>13.0</v>
      </c>
      <c r="G13" s="4" t="s">
        <v>27</v>
      </c>
      <c r="H13" s="4" t="s">
        <v>28</v>
      </c>
      <c r="I13" s="4">
        <v>27.0</v>
      </c>
      <c r="J13" s="4">
        <v>10.0</v>
      </c>
      <c r="K13" s="4">
        <v>13.0</v>
      </c>
      <c r="L13" s="4">
        <v>13.0</v>
      </c>
      <c r="M13" s="4">
        <v>10.0</v>
      </c>
      <c r="N13" s="4">
        <v>13.0</v>
      </c>
      <c r="O13" s="4">
        <v>10.0</v>
      </c>
      <c r="P13" s="4">
        <v>27.0</v>
      </c>
      <c r="Q13" s="4">
        <v>27.0</v>
      </c>
      <c r="R13" s="4">
        <v>27.0</v>
      </c>
    </row>
    <row r="14" ht="22.5" customHeight="1">
      <c r="A14" s="4">
        <v>5.0</v>
      </c>
      <c r="B14" s="4">
        <v>10.0</v>
      </c>
      <c r="C14" s="4">
        <v>10.0</v>
      </c>
      <c r="D14" s="4">
        <v>10.0</v>
      </c>
      <c r="E14" s="4">
        <v>10.0</v>
      </c>
      <c r="F14" s="4">
        <v>15.0</v>
      </c>
      <c r="G14" s="4" t="s">
        <v>29</v>
      </c>
      <c r="H14" s="4" t="s">
        <v>30</v>
      </c>
      <c r="I14" s="4">
        <v>30.0</v>
      </c>
      <c r="J14" s="4">
        <v>12.0</v>
      </c>
      <c r="K14" s="4">
        <v>15.0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12.0</v>
      </c>
      <c r="L9" s="4" t="s">
        <v>27</v>
      </c>
      <c r="M9" s="4" t="s">
        <v>39</v>
      </c>
      <c r="N9" s="4">
        <v>25.0</v>
      </c>
      <c r="O9" s="4">
        <v>10.0</v>
      </c>
      <c r="P9" s="4">
        <v>12.0</v>
      </c>
      <c r="Q9" s="4">
        <v>11.0</v>
      </c>
      <c r="R9" s="4">
        <v>9.0</v>
      </c>
      <c r="S9" s="4">
        <v>11.0</v>
      </c>
      <c r="T9" s="4">
        <v>9.0</v>
      </c>
      <c r="U9" s="4">
        <v>25.0</v>
      </c>
      <c r="V9" s="4">
        <v>25.0</v>
      </c>
      <c r="W9" s="4">
        <v>25.0</v>
      </c>
    </row>
    <row r="10" ht="22.5" customHeight="1">
      <c r="A10" s="4">
        <v>1.0</v>
      </c>
      <c r="B10" s="4">
        <v>1.0</v>
      </c>
      <c r="C10" s="4">
        <v>4.0</v>
      </c>
      <c r="D10" s="4" t="s">
        <v>40</v>
      </c>
      <c r="E10" s="4">
        <v>1.0</v>
      </c>
      <c r="F10" s="4" t="s">
        <v>41</v>
      </c>
      <c r="G10" s="4">
        <v>9.0</v>
      </c>
      <c r="H10" s="4">
        <v>9.0</v>
      </c>
      <c r="I10" s="4">
        <v>9.0</v>
      </c>
      <c r="J10" s="4">
        <v>9.0</v>
      </c>
      <c r="K10" s="4">
        <v>14.0</v>
      </c>
      <c r="L10" s="4" t="s">
        <v>29</v>
      </c>
      <c r="M10" s="4" t="s">
        <v>42</v>
      </c>
      <c r="N10" s="4">
        <v>30.0</v>
      </c>
      <c r="O10" s="4">
        <v>12.0</v>
      </c>
      <c r="P10" s="4">
        <v>14.0</v>
      </c>
      <c r="Q10" s="4">
        <v>13.0</v>
      </c>
      <c r="R10" s="4">
        <v>10.0</v>
      </c>
      <c r="S10" s="4">
        <v>13.0</v>
      </c>
      <c r="T10" s="4">
        <v>10.0</v>
      </c>
      <c r="U10" s="4">
        <v>30.0</v>
      </c>
      <c r="V10" s="4">
        <v>30.0</v>
      </c>
      <c r="W10" s="4">
        <v>30.0</v>
      </c>
    </row>
    <row r="11" ht="22.5" customHeight="1">
      <c r="A11" s="4">
        <v>2.0</v>
      </c>
      <c r="B11" s="4">
        <v>1.0</v>
      </c>
      <c r="C11" s="4">
        <v>5.0</v>
      </c>
      <c r="D11" s="4" t="s">
        <v>43</v>
      </c>
      <c r="E11" s="4">
        <v>1.0</v>
      </c>
      <c r="F11" s="4" t="s">
        <v>44</v>
      </c>
      <c r="G11" s="4">
        <v>10.0</v>
      </c>
      <c r="H11" s="4">
        <v>10.0</v>
      </c>
      <c r="I11" s="4">
        <v>10.0</v>
      </c>
      <c r="J11" s="4">
        <v>10.0</v>
      </c>
      <c r="K11" s="4">
        <v>16.0</v>
      </c>
      <c r="L11" s="4" t="s">
        <v>45</v>
      </c>
      <c r="M11" s="4" t="s">
        <v>46</v>
      </c>
      <c r="N11" s="4">
        <v>35.0</v>
      </c>
      <c r="O11" s="4">
        <v>14.0</v>
      </c>
      <c r="P11" s="4">
        <v>16.0</v>
      </c>
      <c r="Q11" s="4">
        <v>15.0</v>
      </c>
      <c r="R11" s="4">
        <v>12.0</v>
      </c>
      <c r="S11" s="4">
        <v>15.0</v>
      </c>
      <c r="T11" s="4">
        <v>12.0</v>
      </c>
      <c r="U11" s="4">
        <v>35.0</v>
      </c>
      <c r="V11" s="4">
        <v>35.0</v>
      </c>
      <c r="W11" s="4">
        <v>35.0</v>
      </c>
    </row>
    <row r="12" ht="22.5" customHeight="1">
      <c r="A12" s="4">
        <v>3.0</v>
      </c>
      <c r="B12" s="4">
        <v>2.0</v>
      </c>
      <c r="C12" s="4">
        <v>6.0</v>
      </c>
      <c r="D12" s="4" t="s">
        <v>47</v>
      </c>
      <c r="E12" s="4">
        <v>2.0</v>
      </c>
      <c r="F12" s="4" t="s">
        <v>48</v>
      </c>
      <c r="G12" s="4">
        <v>12.0</v>
      </c>
      <c r="H12" s="4">
        <v>12.0</v>
      </c>
      <c r="I12" s="4">
        <v>12.0</v>
      </c>
      <c r="J12" s="4">
        <v>12.0</v>
      </c>
      <c r="K12" s="4">
        <v>18.0</v>
      </c>
      <c r="L12" s="4" t="s">
        <v>49</v>
      </c>
      <c r="M12" s="4" t="s">
        <v>50</v>
      </c>
      <c r="N12" s="4">
        <v>40.0</v>
      </c>
      <c r="O12" s="4">
        <v>16.0</v>
      </c>
      <c r="P12" s="4">
        <v>18.0</v>
      </c>
      <c r="Q12" s="4">
        <v>17.0</v>
      </c>
      <c r="R12" s="4">
        <v>14.0</v>
      </c>
      <c r="S12" s="4">
        <v>17.0</v>
      </c>
      <c r="T12" s="4">
        <v>14.0</v>
      </c>
      <c r="U12" s="4">
        <v>40.0</v>
      </c>
      <c r="V12" s="4">
        <v>40.0</v>
      </c>
      <c r="W12" s="4">
        <v>40.0</v>
      </c>
    </row>
    <row r="13" ht="22.5" customHeight="1">
      <c r="A13" s="4">
        <v>4.0</v>
      </c>
      <c r="B13" s="4">
        <v>2.0</v>
      </c>
      <c r="C13" s="4">
        <v>7.0</v>
      </c>
      <c r="D13" s="4" t="s">
        <v>51</v>
      </c>
      <c r="E13" s="4">
        <v>2.0</v>
      </c>
      <c r="F13" s="4" t="s">
        <v>52</v>
      </c>
      <c r="G13" s="4">
        <v>14.0</v>
      </c>
      <c r="H13" s="4">
        <v>14.0</v>
      </c>
      <c r="I13" s="4">
        <v>14.0</v>
      </c>
      <c r="J13" s="4">
        <v>14.0</v>
      </c>
      <c r="K13" s="4">
        <v>21.0</v>
      </c>
      <c r="L13" s="4" t="s">
        <v>53</v>
      </c>
      <c r="M13" s="4" t="s">
        <v>54</v>
      </c>
      <c r="N13" s="4">
        <v>45.0</v>
      </c>
      <c r="O13" s="4">
        <v>18.0</v>
      </c>
      <c r="P13" s="4">
        <v>21.0</v>
      </c>
      <c r="Q13" s="4">
        <v>19.0</v>
      </c>
      <c r="R13" s="4">
        <v>16.0</v>
      </c>
      <c r="S13" s="4">
        <v>19.0</v>
      </c>
      <c r="T13" s="4">
        <v>16.0</v>
      </c>
      <c r="U13" s="4">
        <v>45.0</v>
      </c>
      <c r="V13" s="4">
        <v>45.0</v>
      </c>
      <c r="W13" s="4">
        <v>45.0</v>
      </c>
    </row>
    <row r="14" ht="22.5" customHeight="1">
      <c r="A14" s="4">
        <v>5.0</v>
      </c>
      <c r="B14" s="4">
        <v>2.0</v>
      </c>
      <c r="C14" s="4">
        <v>8.0</v>
      </c>
      <c r="D14" s="4" t="s">
        <v>55</v>
      </c>
      <c r="E14" s="4">
        <v>2.0</v>
      </c>
      <c r="F14" s="4" t="s">
        <v>56</v>
      </c>
      <c r="G14" s="4">
        <v>16.0</v>
      </c>
      <c r="H14" s="4">
        <v>16.0</v>
      </c>
      <c r="I14" s="4">
        <v>16.0</v>
      </c>
      <c r="J14" s="4">
        <v>16.0</v>
      </c>
      <c r="K14" s="4">
        <v>24.0</v>
      </c>
      <c r="L14" s="4" t="s">
        <v>57</v>
      </c>
      <c r="M14" s="4" t="s">
        <v>58</v>
      </c>
      <c r="N14" s="4">
        <v>50.0</v>
      </c>
      <c r="O14" s="4">
        <v>20.0</v>
      </c>
      <c r="P14" s="4">
        <v>24.0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68</v>
      </c>
      <c r="B15" s="7"/>
      <c r="C15" s="8"/>
      <c r="K15" s="13"/>
    </row>
    <row r="16">
      <c r="A16" s="5" t="s">
        <v>69</v>
      </c>
      <c r="B16" s="5" t="s">
        <v>70</v>
      </c>
      <c r="C16" s="5" t="s">
        <v>71</v>
      </c>
      <c r="K16" s="13"/>
    </row>
    <row r="17">
      <c r="A17" s="5" t="s">
        <v>72</v>
      </c>
      <c r="B17" s="14" t="s">
        <v>73</v>
      </c>
      <c r="C17" s="14" t="s">
        <v>74</v>
      </c>
      <c r="K17" s="13"/>
    </row>
    <row r="18">
      <c r="K18" s="13"/>
    </row>
    <row r="20">
      <c r="A20" s="1" t="s">
        <v>75</v>
      </c>
    </row>
    <row r="21">
      <c r="A21" s="1" t="s">
        <v>76</v>
      </c>
      <c r="B21" s="1" t="s">
        <v>77</v>
      </c>
      <c r="C21" s="1" t="s">
        <v>78</v>
      </c>
      <c r="D21" s="1" t="s">
        <v>79</v>
      </c>
    </row>
    <row r="22">
      <c r="A22" s="1" t="s">
        <v>2</v>
      </c>
      <c r="B22" s="1" t="s">
        <v>3</v>
      </c>
      <c r="C22" s="1" t="s">
        <v>35</v>
      </c>
      <c r="D22" s="1" t="s">
        <v>80</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117.0</v>
      </c>
      <c r="C6" s="10">
        <v>136.0</v>
      </c>
      <c r="D6" s="11">
        <f t="shared" ref="D6:D12" si="1">AVERAGE(B6:C6)</f>
        <v>126.5</v>
      </c>
      <c r="E6" s="10">
        <f t="shared" ref="E6:E12" si="2">ROUND(F6*H6,0)</f>
        <v>114</v>
      </c>
      <c r="F6" s="10">
        <f>ROUND(F7 * 0.9,0)</f>
        <v>142</v>
      </c>
      <c r="G6" s="10">
        <f t="shared" ref="G6:G12" si="3">AVERAGE(E6:F6)</f>
        <v>128</v>
      </c>
      <c r="H6" s="10">
        <v>0.8</v>
      </c>
    </row>
    <row r="7" ht="22.5" customHeight="1">
      <c r="A7" s="10">
        <v>0.0</v>
      </c>
      <c r="B7" s="10">
        <v>124.0</v>
      </c>
      <c r="C7" s="10">
        <v>144.0</v>
      </c>
      <c r="D7" s="11">
        <f t="shared" si="1"/>
        <v>134</v>
      </c>
      <c r="E7" s="10">
        <f t="shared" si="2"/>
        <v>126</v>
      </c>
      <c r="F7" s="10">
        <v>158.0</v>
      </c>
      <c r="G7" s="10">
        <f t="shared" si="3"/>
        <v>142</v>
      </c>
      <c r="H7" s="10">
        <v>0.8</v>
      </c>
    </row>
    <row r="8" ht="22.5" customHeight="1">
      <c r="A8" s="10">
        <v>1.0</v>
      </c>
      <c r="B8" s="10">
        <v>139.0</v>
      </c>
      <c r="C8" s="10">
        <v>161.0</v>
      </c>
      <c r="D8" s="11">
        <f t="shared" si="1"/>
        <v>150</v>
      </c>
      <c r="E8" s="10">
        <f t="shared" si="2"/>
        <v>139</v>
      </c>
      <c r="F8" s="10">
        <f t="shared" ref="F8:F12" si="4">ROUND(F7*1.1,0)</f>
        <v>174</v>
      </c>
      <c r="G8" s="10">
        <f t="shared" si="3"/>
        <v>156.5</v>
      </c>
      <c r="H8" s="10">
        <v>0.8</v>
      </c>
      <c r="K8" s="12"/>
      <c r="L8" s="1"/>
    </row>
    <row r="9" ht="22.5" customHeight="1">
      <c r="A9" s="10">
        <v>2.0</v>
      </c>
      <c r="B9" s="10">
        <v>156.0</v>
      </c>
      <c r="C9" s="10">
        <v>180.0</v>
      </c>
      <c r="D9" s="11">
        <f t="shared" si="1"/>
        <v>168</v>
      </c>
      <c r="E9" s="10">
        <f t="shared" si="2"/>
        <v>153</v>
      </c>
      <c r="F9" s="10">
        <f t="shared" si="4"/>
        <v>191</v>
      </c>
      <c r="G9" s="10">
        <f t="shared" si="3"/>
        <v>172</v>
      </c>
      <c r="H9" s="10">
        <v>0.8</v>
      </c>
      <c r="K9" s="15"/>
    </row>
    <row r="10" ht="16.5" customHeight="1">
      <c r="A10" s="10">
        <v>3.0</v>
      </c>
      <c r="B10" s="10">
        <v>175.0</v>
      </c>
      <c r="C10" s="10">
        <v>202.0</v>
      </c>
      <c r="D10" s="11">
        <f t="shared" si="1"/>
        <v>188.5</v>
      </c>
      <c r="E10" s="10">
        <f t="shared" si="2"/>
        <v>168</v>
      </c>
      <c r="F10" s="10">
        <f t="shared" si="4"/>
        <v>210</v>
      </c>
      <c r="G10" s="10">
        <f t="shared" si="3"/>
        <v>189</v>
      </c>
      <c r="H10" s="10">
        <v>0.8</v>
      </c>
      <c r="K10" s="16"/>
    </row>
    <row r="11" ht="22.5" customHeight="1">
      <c r="A11" s="10">
        <v>4.0</v>
      </c>
      <c r="B11" s="10">
        <v>196.0</v>
      </c>
      <c r="C11" s="10">
        <v>226.0</v>
      </c>
      <c r="D11" s="11">
        <f t="shared" si="1"/>
        <v>211</v>
      </c>
      <c r="E11" s="10">
        <f t="shared" si="2"/>
        <v>185</v>
      </c>
      <c r="F11" s="10">
        <f t="shared" si="4"/>
        <v>231</v>
      </c>
      <c r="G11" s="10">
        <f t="shared" si="3"/>
        <v>208</v>
      </c>
      <c r="H11" s="10">
        <v>0.8</v>
      </c>
    </row>
    <row r="12" ht="22.5" customHeight="1">
      <c r="A12" s="10">
        <v>5.0</v>
      </c>
      <c r="B12" s="10">
        <v>220.0</v>
      </c>
      <c r="C12" s="10">
        <v>253.0</v>
      </c>
      <c r="D12" s="11">
        <f t="shared" si="1"/>
        <v>236.5</v>
      </c>
      <c r="E12" s="10">
        <f t="shared" si="2"/>
        <v>203</v>
      </c>
      <c r="F12" s="10">
        <f t="shared" si="4"/>
        <v>254</v>
      </c>
      <c r="G12" s="10">
        <f t="shared" si="3"/>
        <v>228.5</v>
      </c>
      <c r="H12" s="10">
        <v>0.8</v>
      </c>
      <c r="M12" s="13"/>
      <c r="N12" s="13"/>
      <c r="O12" s="13"/>
    </row>
    <row r="13">
      <c r="M13" s="13"/>
      <c r="N13" s="13"/>
      <c r="O13" s="13"/>
    </row>
    <row r="14">
      <c r="M14" s="13"/>
      <c r="N14" s="13"/>
      <c r="O14" s="13"/>
    </row>
    <row r="16">
      <c r="A16" s="6" t="s">
        <v>68</v>
      </c>
      <c r="B16" s="7"/>
      <c r="C16" s="8"/>
    </row>
    <row r="17">
      <c r="A17" s="5" t="s">
        <v>69</v>
      </c>
      <c r="B17" s="5" t="s">
        <v>70</v>
      </c>
      <c r="C17" s="5" t="s">
        <v>71</v>
      </c>
    </row>
    <row r="18">
      <c r="A18" s="14" t="s">
        <v>81</v>
      </c>
      <c r="B18" s="5" t="s">
        <v>82</v>
      </c>
      <c r="C18" s="14" t="s">
        <v>83</v>
      </c>
    </row>
    <row r="20">
      <c r="A20" s="1" t="s">
        <v>84</v>
      </c>
    </row>
    <row r="21">
      <c r="A21" s="1" t="s">
        <v>76</v>
      </c>
      <c r="B21" s="1" t="s">
        <v>77</v>
      </c>
      <c r="C21" s="1" t="s">
        <v>78</v>
      </c>
      <c r="D21" s="1" t="s">
        <v>79</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66.0</v>
      </c>
      <c r="C6" s="10">
        <v>98.0</v>
      </c>
      <c r="D6" s="11">
        <f t="shared" ref="D6:D12" si="1">AVERAGE(B6:C6)</f>
        <v>82</v>
      </c>
      <c r="E6" s="10">
        <f t="shared" ref="E6:E12" si="2">ROUND(F6*H6,0)</f>
        <v>63</v>
      </c>
      <c r="F6" s="10">
        <f>ROUND(F7 * 0.9,0)</f>
        <v>97</v>
      </c>
      <c r="G6" s="10">
        <f t="shared" ref="G6:G12" si="3">AVERAGE(E6:F6)</f>
        <v>80</v>
      </c>
      <c r="H6" s="10">
        <v>0.65</v>
      </c>
    </row>
    <row r="7" ht="22.5" customHeight="1">
      <c r="A7" s="10">
        <v>0.0</v>
      </c>
      <c r="B7" s="10">
        <v>69.0</v>
      </c>
      <c r="C7" s="10">
        <v>105.0</v>
      </c>
      <c r="D7" s="11">
        <f t="shared" si="1"/>
        <v>87</v>
      </c>
      <c r="E7" s="10">
        <f t="shared" si="2"/>
        <v>70</v>
      </c>
      <c r="F7" s="10">
        <v>108.0</v>
      </c>
      <c r="G7" s="10">
        <f t="shared" si="3"/>
        <v>89</v>
      </c>
      <c r="H7" s="10">
        <v>0.65</v>
      </c>
    </row>
    <row r="8" ht="22.5" customHeight="1">
      <c r="A8" s="10">
        <v>1.0</v>
      </c>
      <c r="B8" s="10">
        <v>75.0</v>
      </c>
      <c r="C8" s="10">
        <v>120.0</v>
      </c>
      <c r="D8" s="11">
        <f t="shared" si="1"/>
        <v>97.5</v>
      </c>
      <c r="E8" s="10">
        <f t="shared" si="2"/>
        <v>77</v>
      </c>
      <c r="F8" s="10">
        <f t="shared" ref="F8:F12" si="4">ROUND(F7*1.1,0)</f>
        <v>119</v>
      </c>
      <c r="G8" s="10">
        <f t="shared" si="3"/>
        <v>98</v>
      </c>
      <c r="H8" s="10">
        <v>0.65</v>
      </c>
    </row>
    <row r="9" ht="15.0" customHeight="1">
      <c r="A9" s="10">
        <v>2.0</v>
      </c>
      <c r="B9" s="10">
        <v>81.0</v>
      </c>
      <c r="C9" s="10">
        <v>137.0</v>
      </c>
      <c r="D9" s="11">
        <f t="shared" si="1"/>
        <v>109</v>
      </c>
      <c r="E9" s="10">
        <f t="shared" si="2"/>
        <v>85</v>
      </c>
      <c r="F9" s="10">
        <f t="shared" si="4"/>
        <v>131</v>
      </c>
      <c r="G9" s="10">
        <f t="shared" si="3"/>
        <v>108</v>
      </c>
      <c r="H9" s="10">
        <v>0.65</v>
      </c>
      <c r="J9" s="1"/>
    </row>
    <row r="10" ht="22.5" customHeight="1">
      <c r="A10" s="10">
        <v>3.0</v>
      </c>
      <c r="B10" s="10">
        <v>87.0</v>
      </c>
      <c r="C10" s="10">
        <v>156.0</v>
      </c>
      <c r="D10" s="11">
        <f t="shared" si="1"/>
        <v>121.5</v>
      </c>
      <c r="E10" s="10">
        <f t="shared" si="2"/>
        <v>94</v>
      </c>
      <c r="F10" s="10">
        <f t="shared" si="4"/>
        <v>144</v>
      </c>
      <c r="G10" s="10">
        <f t="shared" si="3"/>
        <v>119</v>
      </c>
      <c r="H10" s="10">
        <v>0.65</v>
      </c>
    </row>
    <row r="11" ht="15.0" customHeight="1">
      <c r="A11" s="10">
        <v>4.0</v>
      </c>
      <c r="B11" s="10">
        <v>94.0</v>
      </c>
      <c r="C11" s="10">
        <v>178.0</v>
      </c>
      <c r="D11" s="11">
        <f t="shared" si="1"/>
        <v>136</v>
      </c>
      <c r="E11" s="10">
        <f t="shared" si="2"/>
        <v>103</v>
      </c>
      <c r="F11" s="10">
        <f t="shared" si="4"/>
        <v>158</v>
      </c>
      <c r="G11" s="10">
        <f t="shared" si="3"/>
        <v>130.5</v>
      </c>
      <c r="H11" s="10">
        <v>0.65</v>
      </c>
    </row>
    <row r="12" ht="21.75" customHeight="1">
      <c r="A12" s="10">
        <v>5.0</v>
      </c>
      <c r="B12" s="10">
        <v>102.0</v>
      </c>
      <c r="C12" s="10">
        <v>203.0</v>
      </c>
      <c r="D12" s="11">
        <f t="shared" si="1"/>
        <v>152.5</v>
      </c>
      <c r="E12" s="10">
        <f t="shared" si="2"/>
        <v>113</v>
      </c>
      <c r="F12" s="10">
        <f t="shared" si="4"/>
        <v>174</v>
      </c>
      <c r="G12" s="10">
        <f t="shared" si="3"/>
        <v>143.5</v>
      </c>
      <c r="H12" s="10">
        <v>0.65</v>
      </c>
    </row>
    <row r="13">
      <c r="A13" s="6" t="s">
        <v>68</v>
      </c>
      <c r="B13" s="7"/>
      <c r="C13" s="8"/>
    </row>
    <row r="14">
      <c r="A14" s="5" t="s">
        <v>69</v>
      </c>
      <c r="B14" s="5" t="s">
        <v>70</v>
      </c>
      <c r="C14" s="5" t="s">
        <v>71</v>
      </c>
    </row>
    <row r="15">
      <c r="A15" s="17" t="s">
        <v>85</v>
      </c>
      <c r="B15" s="17" t="s">
        <v>86</v>
      </c>
      <c r="C15" s="17" t="s">
        <v>87</v>
      </c>
      <c r="J15" s="1" t="s">
        <v>88</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75</v>
      </c>
    </row>
    <row r="21">
      <c r="A21" s="1" t="s">
        <v>76</v>
      </c>
      <c r="B21" s="1" t="s">
        <v>77</v>
      </c>
      <c r="C21" s="1" t="s">
        <v>78</v>
      </c>
      <c r="D21" s="1" t="s">
        <v>79</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61.0</v>
      </c>
      <c r="C6" s="10">
        <v>79.0</v>
      </c>
      <c r="D6" s="11">
        <f t="shared" ref="D6:D12" si="1">AVERAGE(B6:C6)</f>
        <v>70</v>
      </c>
      <c r="E6" s="10">
        <f t="shared" ref="E6:E12" si="2">ROUND(F6*H6,0)</f>
        <v>77</v>
      </c>
      <c r="F6" s="10">
        <f>ROUND(F7 * 0.9,0)</f>
        <v>96</v>
      </c>
      <c r="G6" s="10">
        <f t="shared" ref="G6:G12" si="3">AVERAGE(E6:F6)</f>
        <v>86.5</v>
      </c>
      <c r="H6" s="10">
        <v>0.8</v>
      </c>
    </row>
    <row r="7" ht="22.5" customHeight="1">
      <c r="A7" s="10">
        <v>0.0</v>
      </c>
      <c r="B7" s="10">
        <v>78.0</v>
      </c>
      <c r="C7" s="10">
        <v>90.0</v>
      </c>
      <c r="D7" s="11">
        <f t="shared" si="1"/>
        <v>84</v>
      </c>
      <c r="E7" s="10">
        <f t="shared" si="2"/>
        <v>86</v>
      </c>
      <c r="F7" s="10">
        <v>107.0</v>
      </c>
      <c r="G7" s="10">
        <f t="shared" si="3"/>
        <v>96.5</v>
      </c>
      <c r="H7" s="10">
        <v>0.8</v>
      </c>
    </row>
    <row r="8" ht="22.5" customHeight="1">
      <c r="A8" s="10">
        <v>1.0</v>
      </c>
      <c r="B8" s="10">
        <v>87.0</v>
      </c>
      <c r="C8" s="10">
        <v>101.0</v>
      </c>
      <c r="D8" s="11">
        <f t="shared" si="1"/>
        <v>94</v>
      </c>
      <c r="E8" s="10">
        <f t="shared" si="2"/>
        <v>94</v>
      </c>
      <c r="F8" s="10">
        <f t="shared" ref="F8:F12" si="4">ROUND(F7*1.1,0)</f>
        <v>118</v>
      </c>
      <c r="G8" s="10">
        <f t="shared" si="3"/>
        <v>106</v>
      </c>
      <c r="H8" s="10">
        <v>0.8</v>
      </c>
    </row>
    <row r="9" ht="22.5" customHeight="1">
      <c r="A9" s="10">
        <v>2.0</v>
      </c>
      <c r="B9" s="10">
        <v>97.0</v>
      </c>
      <c r="C9" s="10">
        <v>113.0</v>
      </c>
      <c r="D9" s="11">
        <f t="shared" si="1"/>
        <v>105</v>
      </c>
      <c r="E9" s="10">
        <f t="shared" si="2"/>
        <v>104</v>
      </c>
      <c r="F9" s="10">
        <f t="shared" si="4"/>
        <v>130</v>
      </c>
      <c r="G9" s="10">
        <f t="shared" si="3"/>
        <v>117</v>
      </c>
      <c r="H9" s="10">
        <v>0.8</v>
      </c>
    </row>
    <row r="10" ht="15.0" customHeight="1">
      <c r="A10" s="10">
        <v>3.0</v>
      </c>
      <c r="B10" s="10">
        <v>109.0</v>
      </c>
      <c r="C10" s="10">
        <v>127.0</v>
      </c>
      <c r="D10" s="11">
        <f t="shared" si="1"/>
        <v>118</v>
      </c>
      <c r="E10" s="10">
        <f t="shared" si="2"/>
        <v>114</v>
      </c>
      <c r="F10" s="10">
        <f t="shared" si="4"/>
        <v>143</v>
      </c>
      <c r="G10" s="10">
        <f t="shared" si="3"/>
        <v>128.5</v>
      </c>
      <c r="H10" s="10">
        <v>0.8</v>
      </c>
    </row>
    <row r="11" ht="19.5" customHeight="1">
      <c r="A11" s="10">
        <v>4.0</v>
      </c>
      <c r="B11" s="10">
        <v>122.0</v>
      </c>
      <c r="C11" s="10">
        <v>142.0</v>
      </c>
      <c r="D11" s="11">
        <f t="shared" si="1"/>
        <v>132</v>
      </c>
      <c r="E11" s="10">
        <f t="shared" si="2"/>
        <v>126</v>
      </c>
      <c r="F11" s="10">
        <f t="shared" si="4"/>
        <v>157</v>
      </c>
      <c r="G11" s="10">
        <f t="shared" si="3"/>
        <v>141.5</v>
      </c>
      <c r="H11" s="10">
        <v>0.8</v>
      </c>
    </row>
    <row r="12" ht="22.5" customHeight="1">
      <c r="A12" s="10">
        <v>5.0</v>
      </c>
      <c r="B12" s="10">
        <v>137.0</v>
      </c>
      <c r="C12" s="10">
        <v>159.0</v>
      </c>
      <c r="D12" s="11">
        <f t="shared" si="1"/>
        <v>148</v>
      </c>
      <c r="E12" s="10">
        <f t="shared" si="2"/>
        <v>138</v>
      </c>
      <c r="F12" s="10">
        <f t="shared" si="4"/>
        <v>173</v>
      </c>
      <c r="G12" s="10">
        <f t="shared" si="3"/>
        <v>155.5</v>
      </c>
      <c r="H12" s="10">
        <v>0.8</v>
      </c>
    </row>
    <row r="15">
      <c r="A15" s="6" t="s">
        <v>68</v>
      </c>
      <c r="B15" s="7"/>
      <c r="C15" s="8"/>
      <c r="D15" s="9"/>
    </row>
    <row r="16">
      <c r="A16" s="5" t="s">
        <v>69</v>
      </c>
      <c r="B16" s="5" t="s">
        <v>70</v>
      </c>
      <c r="C16" s="5" t="s">
        <v>71</v>
      </c>
      <c r="D16" s="5" t="s">
        <v>89</v>
      </c>
    </row>
    <row r="17">
      <c r="A17" s="17" t="s">
        <v>90</v>
      </c>
      <c r="B17" s="17" t="s">
        <v>91</v>
      </c>
      <c r="C17" s="17" t="s">
        <v>92</v>
      </c>
      <c r="D17" s="17" t="s">
        <v>93</v>
      </c>
    </row>
    <row r="20">
      <c r="A20" s="1" t="s">
        <v>75</v>
      </c>
    </row>
    <row r="21">
      <c r="A21" s="1" t="s">
        <v>76</v>
      </c>
      <c r="B21" s="1" t="s">
        <v>77</v>
      </c>
      <c r="C21" s="1" t="s">
        <v>78</v>
      </c>
      <c r="D21" s="1" t="s">
        <v>79</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17.25" customHeight="1">
      <c r="A6" s="10">
        <v>-1.0</v>
      </c>
      <c r="B6" s="10">
        <v>105.0</v>
      </c>
      <c r="C6" s="10">
        <v>140.0</v>
      </c>
      <c r="D6" s="11">
        <f t="shared" ref="D6:D12" si="1">AVERAGE(B6:C6)</f>
        <v>122.5</v>
      </c>
      <c r="E6" s="10">
        <f t="shared" ref="E6:E12" si="2">ROUND(F6*H6,0)</f>
        <v>102</v>
      </c>
      <c r="F6" s="10">
        <f>ROUND(F7 * 0.9,0)</f>
        <v>157</v>
      </c>
      <c r="G6" s="10">
        <f t="shared" ref="G6:G12" si="3">AVERAGE(E6:F6)</f>
        <v>129.5</v>
      </c>
      <c r="H6" s="10">
        <v>0.65</v>
      </c>
    </row>
    <row r="7" ht="22.5" customHeight="1">
      <c r="A7" s="10">
        <v>0.0</v>
      </c>
      <c r="B7" s="10">
        <v>111.0</v>
      </c>
      <c r="C7" s="10">
        <v>149.0</v>
      </c>
      <c r="D7" s="11">
        <f t="shared" si="1"/>
        <v>130</v>
      </c>
      <c r="E7" s="10">
        <f t="shared" si="2"/>
        <v>113</v>
      </c>
      <c r="F7" s="10">
        <v>174.0</v>
      </c>
      <c r="G7" s="10">
        <f t="shared" si="3"/>
        <v>143.5</v>
      </c>
      <c r="H7" s="10">
        <v>0.65</v>
      </c>
    </row>
    <row r="8" ht="14.25" customHeight="1">
      <c r="A8" s="10">
        <v>1.0</v>
      </c>
      <c r="B8" s="10">
        <v>124.0</v>
      </c>
      <c r="C8" s="10">
        <v>167.0</v>
      </c>
      <c r="D8" s="11">
        <f t="shared" si="1"/>
        <v>145.5</v>
      </c>
      <c r="E8" s="10">
        <f t="shared" si="2"/>
        <v>124</v>
      </c>
      <c r="F8" s="10">
        <f t="shared" ref="F8:F12" si="4">ROUND(F7*1.1,0)</f>
        <v>191</v>
      </c>
      <c r="G8" s="10">
        <f t="shared" si="3"/>
        <v>157.5</v>
      </c>
      <c r="H8" s="10">
        <v>0.65</v>
      </c>
      <c r="L8" s="1"/>
    </row>
    <row r="9" ht="22.5" customHeight="1">
      <c r="A9" s="10">
        <v>2.0</v>
      </c>
      <c r="B9" s="10">
        <v>139.0</v>
      </c>
      <c r="C9" s="10">
        <v>187.0</v>
      </c>
      <c r="D9" s="11">
        <f t="shared" si="1"/>
        <v>163</v>
      </c>
      <c r="E9" s="10">
        <f t="shared" si="2"/>
        <v>137</v>
      </c>
      <c r="F9" s="10">
        <f t="shared" si="4"/>
        <v>210</v>
      </c>
      <c r="G9" s="10">
        <f t="shared" si="3"/>
        <v>173.5</v>
      </c>
      <c r="H9" s="10">
        <v>0.65</v>
      </c>
    </row>
    <row r="10" ht="16.5" customHeight="1">
      <c r="A10" s="10">
        <v>3.0</v>
      </c>
      <c r="B10" s="10">
        <v>156.0</v>
      </c>
      <c r="C10" s="10">
        <v>209.0</v>
      </c>
      <c r="D10" s="11">
        <f t="shared" si="1"/>
        <v>182.5</v>
      </c>
      <c r="E10" s="10">
        <f t="shared" si="2"/>
        <v>150</v>
      </c>
      <c r="F10" s="10">
        <f t="shared" si="4"/>
        <v>231</v>
      </c>
      <c r="G10" s="10">
        <f t="shared" si="3"/>
        <v>190.5</v>
      </c>
      <c r="H10" s="10">
        <v>0.65</v>
      </c>
    </row>
    <row r="11" ht="16.5" customHeight="1">
      <c r="A11" s="10">
        <v>4.0</v>
      </c>
      <c r="B11" s="10">
        <v>175.0</v>
      </c>
      <c r="C11" s="10">
        <v>234.0</v>
      </c>
      <c r="D11" s="11">
        <f t="shared" si="1"/>
        <v>204.5</v>
      </c>
      <c r="E11" s="10">
        <f t="shared" si="2"/>
        <v>165</v>
      </c>
      <c r="F11" s="10">
        <f t="shared" si="4"/>
        <v>254</v>
      </c>
      <c r="G11" s="10">
        <f t="shared" si="3"/>
        <v>209.5</v>
      </c>
      <c r="H11" s="10">
        <v>0.65</v>
      </c>
    </row>
    <row r="12" ht="16.5" customHeight="1">
      <c r="A12" s="10">
        <v>5.0</v>
      </c>
      <c r="B12" s="10">
        <v>196.0</v>
      </c>
      <c r="C12" s="10">
        <v>292.0</v>
      </c>
      <c r="D12" s="11">
        <f t="shared" si="1"/>
        <v>244</v>
      </c>
      <c r="E12" s="10">
        <f t="shared" si="2"/>
        <v>181</v>
      </c>
      <c r="F12" s="10">
        <f t="shared" si="4"/>
        <v>279</v>
      </c>
      <c r="G12" s="10">
        <f t="shared" si="3"/>
        <v>230</v>
      </c>
      <c r="H12" s="10">
        <v>0.65</v>
      </c>
    </row>
    <row r="13" ht="16.5" customHeight="1"/>
    <row r="14" ht="18.0" customHeight="1"/>
    <row r="15">
      <c r="A15" s="1"/>
      <c r="B15" s="1"/>
      <c r="C15" s="1"/>
      <c r="D15" s="1"/>
    </row>
    <row r="16">
      <c r="A16" s="6" t="s">
        <v>68</v>
      </c>
      <c r="B16" s="7"/>
      <c r="C16" s="7"/>
      <c r="D16" s="8"/>
    </row>
    <row r="17">
      <c r="A17" s="5" t="s">
        <v>69</v>
      </c>
      <c r="B17" s="5" t="s">
        <v>70</v>
      </c>
      <c r="C17" s="6" t="s">
        <v>71</v>
      </c>
      <c r="D17" s="24" t="s">
        <v>94</v>
      </c>
    </row>
    <row r="18">
      <c r="A18" s="17" t="s">
        <v>95</v>
      </c>
      <c r="B18" s="17" t="s">
        <v>96</v>
      </c>
      <c r="C18" s="25" t="s">
        <v>92</v>
      </c>
      <c r="D18" s="26" t="s">
        <v>97</v>
      </c>
    </row>
    <row r="20">
      <c r="A20" s="1" t="s">
        <v>75</v>
      </c>
    </row>
    <row r="21">
      <c r="A21" s="1" t="s">
        <v>76</v>
      </c>
      <c r="B21" s="1" t="s">
        <v>77</v>
      </c>
      <c r="C21" s="1" t="s">
        <v>78</v>
      </c>
      <c r="D21" s="1" t="s">
        <v>79</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104.0</v>
      </c>
      <c r="C6" s="10">
        <v>135.0</v>
      </c>
      <c r="D6" s="11">
        <f t="shared" ref="D6:D12" si="1">AVERAGE(B6:C6)</f>
        <v>119.5</v>
      </c>
      <c r="E6" s="10">
        <f t="shared" ref="E6:E12" si="2">ROUND(F6*H6,0)</f>
        <v>85</v>
      </c>
      <c r="F6" s="10">
        <f>ROUND(F7 * 0.9,0)</f>
        <v>169</v>
      </c>
      <c r="G6" s="10">
        <f t="shared" ref="G6:G12" si="3">AVERAGE(E6:F6)</f>
        <v>127</v>
      </c>
      <c r="H6" s="10">
        <v>0.5</v>
      </c>
    </row>
    <row r="7" ht="22.5" customHeight="1">
      <c r="A7" s="10">
        <v>0.0</v>
      </c>
      <c r="B7" s="10">
        <v>110.0</v>
      </c>
      <c r="C7" s="10">
        <v>140.0</v>
      </c>
      <c r="D7" s="11">
        <f t="shared" si="1"/>
        <v>125</v>
      </c>
      <c r="E7" s="10">
        <f t="shared" si="2"/>
        <v>94</v>
      </c>
      <c r="F7" s="10">
        <v>188.0</v>
      </c>
      <c r="G7" s="10">
        <f t="shared" si="3"/>
        <v>141</v>
      </c>
      <c r="H7" s="10">
        <v>0.5</v>
      </c>
    </row>
    <row r="8" ht="22.5" customHeight="1">
      <c r="A8" s="10">
        <v>1.0</v>
      </c>
      <c r="B8" s="10">
        <v>123.0</v>
      </c>
      <c r="C8" s="10">
        <v>157.0</v>
      </c>
      <c r="D8" s="11">
        <f t="shared" si="1"/>
        <v>140</v>
      </c>
      <c r="E8" s="10">
        <f t="shared" si="2"/>
        <v>104</v>
      </c>
      <c r="F8" s="10">
        <f t="shared" ref="F8:F12" si="4">ROUND(F7*1.1,0)</f>
        <v>207</v>
      </c>
      <c r="G8" s="10">
        <f t="shared" si="3"/>
        <v>155.5</v>
      </c>
      <c r="H8" s="10">
        <v>0.5</v>
      </c>
    </row>
    <row r="9" ht="22.5" customHeight="1">
      <c r="A9" s="10">
        <v>2.0</v>
      </c>
      <c r="B9" s="10">
        <v>138.0</v>
      </c>
      <c r="C9" s="10">
        <v>176.0</v>
      </c>
      <c r="D9" s="11">
        <f t="shared" si="1"/>
        <v>157</v>
      </c>
      <c r="E9" s="10">
        <f t="shared" si="2"/>
        <v>114</v>
      </c>
      <c r="F9" s="10">
        <f t="shared" si="4"/>
        <v>228</v>
      </c>
      <c r="G9" s="10">
        <f t="shared" si="3"/>
        <v>171</v>
      </c>
      <c r="H9" s="10">
        <v>0.5</v>
      </c>
    </row>
    <row r="10" ht="22.5" customHeight="1">
      <c r="A10" s="10">
        <v>3.0</v>
      </c>
      <c r="B10" s="10">
        <v>155.0</v>
      </c>
      <c r="C10" s="10">
        <v>197.0</v>
      </c>
      <c r="D10" s="11">
        <f t="shared" si="1"/>
        <v>176</v>
      </c>
      <c r="E10" s="10">
        <f t="shared" si="2"/>
        <v>126</v>
      </c>
      <c r="F10" s="10">
        <f t="shared" si="4"/>
        <v>251</v>
      </c>
      <c r="G10" s="10">
        <f t="shared" si="3"/>
        <v>188.5</v>
      </c>
      <c r="H10" s="10">
        <v>0.5</v>
      </c>
    </row>
    <row r="11" ht="22.5" customHeight="1">
      <c r="A11" s="10">
        <v>4.0</v>
      </c>
      <c r="B11" s="10">
        <v>174.0</v>
      </c>
      <c r="C11" s="10">
        <v>221.0</v>
      </c>
      <c r="D11" s="11">
        <f t="shared" si="1"/>
        <v>197.5</v>
      </c>
      <c r="E11" s="10">
        <f t="shared" si="2"/>
        <v>138</v>
      </c>
      <c r="F11" s="10">
        <f t="shared" si="4"/>
        <v>276</v>
      </c>
      <c r="G11" s="10">
        <f t="shared" si="3"/>
        <v>207</v>
      </c>
      <c r="H11" s="10">
        <v>0.5</v>
      </c>
    </row>
    <row r="12" ht="22.5" customHeight="1">
      <c r="A12" s="10">
        <v>5.0</v>
      </c>
      <c r="B12" s="10">
        <v>195.0</v>
      </c>
      <c r="C12" s="10">
        <v>248.0</v>
      </c>
      <c r="D12" s="11">
        <f t="shared" si="1"/>
        <v>221.5</v>
      </c>
      <c r="E12" s="10">
        <f t="shared" si="2"/>
        <v>152</v>
      </c>
      <c r="F12" s="10">
        <f t="shared" si="4"/>
        <v>304</v>
      </c>
      <c r="G12" s="10">
        <f t="shared" si="3"/>
        <v>228</v>
      </c>
      <c r="H12" s="10">
        <v>0.5</v>
      </c>
    </row>
    <row r="14" ht="11.25" customHeight="1">
      <c r="L14" s="1"/>
    </row>
    <row r="15">
      <c r="A15" s="6" t="s">
        <v>68</v>
      </c>
      <c r="B15" s="7"/>
      <c r="C15" s="7"/>
      <c r="D15" s="7"/>
    </row>
    <row r="16" ht="39.0" customHeight="1">
      <c r="A16" s="5" t="s">
        <v>69</v>
      </c>
      <c r="B16" s="5" t="s">
        <v>70</v>
      </c>
      <c r="C16" s="6" t="s">
        <v>71</v>
      </c>
      <c r="D16" s="5" t="s">
        <v>94</v>
      </c>
    </row>
    <row r="17" ht="65.25" customHeight="1">
      <c r="A17" s="17" t="s">
        <v>85</v>
      </c>
      <c r="B17" s="17" t="s">
        <v>85</v>
      </c>
      <c r="C17" s="25" t="s">
        <v>100</v>
      </c>
      <c r="D17" s="17" t="s">
        <v>85</v>
      </c>
      <c r="L17" s="23"/>
    </row>
    <row r="18">
      <c r="K18" s="1"/>
    </row>
    <row r="20">
      <c r="A20" s="1" t="s">
        <v>75</v>
      </c>
    </row>
    <row r="21">
      <c r="A21" s="1" t="s">
        <v>76</v>
      </c>
      <c r="B21" s="1" t="s">
        <v>77</v>
      </c>
      <c r="C21" s="1" t="s">
        <v>78</v>
      </c>
      <c r="D21" s="1" t="s">
        <v>79</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68</v>
      </c>
      <c r="B13" s="7"/>
      <c r="C13" s="8"/>
    </row>
    <row r="14">
      <c r="A14" s="5" t="s">
        <v>69</v>
      </c>
      <c r="B14" s="5" t="s">
        <v>70</v>
      </c>
      <c r="C14" s="5" t="s">
        <v>71</v>
      </c>
      <c r="D14" s="5" t="s">
        <v>94</v>
      </c>
    </row>
    <row r="15">
      <c r="A15" s="17" t="s">
        <v>85</v>
      </c>
      <c r="B15" s="17" t="s">
        <v>104</v>
      </c>
      <c r="C15" s="17" t="s">
        <v>92</v>
      </c>
      <c r="D15" s="17" t="s">
        <v>92</v>
      </c>
    </row>
    <row r="16">
      <c r="E16" s="13"/>
      <c r="F16" s="13"/>
      <c r="G16" s="13"/>
    </row>
    <row r="19" ht="36.0" customHeight="1"/>
    <row r="20">
      <c r="A20" s="5" t="s">
        <v>75</v>
      </c>
      <c r="B20" s="9"/>
      <c r="C20" s="9"/>
      <c r="D20" s="9"/>
    </row>
    <row r="21">
      <c r="A21" s="5" t="s">
        <v>76</v>
      </c>
      <c r="B21" s="5" t="s">
        <v>77</v>
      </c>
      <c r="C21" s="5" t="s">
        <v>78</v>
      </c>
      <c r="D21" s="5" t="s">
        <v>79</v>
      </c>
    </row>
    <row r="22">
      <c r="A22" s="27" t="s">
        <v>105</v>
      </c>
      <c r="B22" s="27" t="s">
        <v>8</v>
      </c>
      <c r="C22" s="27" t="s">
        <v>106</v>
      </c>
      <c r="D22" s="14" t="s">
        <v>107</v>
      </c>
    </row>
  </sheetData>
  <mergeCells count="2">
    <mergeCell ref="B3:G3"/>
    <mergeCell ref="A13:C13"/>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59</v>
      </c>
    </row>
    <row r="3">
      <c r="A3" s="5"/>
      <c r="B3" s="6" t="s">
        <v>60</v>
      </c>
      <c r="C3" s="7"/>
      <c r="D3" s="7"/>
      <c r="E3" s="7"/>
      <c r="F3" s="7"/>
      <c r="G3" s="8"/>
      <c r="H3" s="9"/>
    </row>
    <row r="4">
      <c r="A4" s="1"/>
      <c r="B4" s="1"/>
      <c r="C4" s="1"/>
      <c r="D4" s="1"/>
      <c r="E4" s="1"/>
      <c r="F4" s="1"/>
      <c r="G4" s="1"/>
      <c r="H4" s="1"/>
      <c r="K4" s="1"/>
      <c r="L4" s="1"/>
      <c r="M4" s="1"/>
      <c r="N4" s="1"/>
      <c r="O4" s="1"/>
      <c r="P4" s="1"/>
      <c r="Q4" s="1"/>
    </row>
    <row r="5" ht="22.5" customHeight="1">
      <c r="A5" s="2" t="s">
        <v>1</v>
      </c>
      <c r="B5" s="2" t="s">
        <v>61</v>
      </c>
      <c r="C5" s="2" t="s">
        <v>62</v>
      </c>
      <c r="D5" s="2" t="s">
        <v>63</v>
      </c>
      <c r="E5" s="2" t="s">
        <v>64</v>
      </c>
      <c r="F5" s="2" t="s">
        <v>65</v>
      </c>
      <c r="G5" s="2" t="s">
        <v>66</v>
      </c>
      <c r="H5" s="2" t="s">
        <v>67</v>
      </c>
      <c r="K5" s="1" t="s">
        <v>108</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68</v>
      </c>
      <c r="B16" s="7"/>
      <c r="C16" s="7"/>
      <c r="D16" s="7"/>
    </row>
    <row r="17">
      <c r="A17" s="5" t="s">
        <v>69</v>
      </c>
      <c r="B17" s="5" t="s">
        <v>70</v>
      </c>
      <c r="C17" s="6" t="s">
        <v>71</v>
      </c>
      <c r="D17" s="12" t="s">
        <v>94</v>
      </c>
      <c r="K17" s="28"/>
      <c r="L17" s="28"/>
      <c r="P17" s="28"/>
      <c r="Q17" s="28"/>
    </row>
    <row r="18">
      <c r="A18" s="17" t="s">
        <v>109</v>
      </c>
      <c r="B18" s="17" t="s">
        <v>110</v>
      </c>
      <c r="C18" s="25" t="s">
        <v>92</v>
      </c>
      <c r="D18" s="29" t="s">
        <v>85</v>
      </c>
      <c r="K18" s="28"/>
      <c r="L18" s="28"/>
      <c r="P18" s="28"/>
      <c r="Q18" s="28"/>
    </row>
    <row r="19">
      <c r="H19" s="13"/>
      <c r="I19" s="13"/>
      <c r="K19" s="28"/>
      <c r="L19" s="28"/>
      <c r="P19" s="28"/>
      <c r="Q19" s="28"/>
    </row>
    <row r="20">
      <c r="A20" s="5" t="s">
        <v>75</v>
      </c>
      <c r="B20" s="9"/>
      <c r="C20" s="9"/>
      <c r="D20" s="9"/>
      <c r="H20" s="13"/>
      <c r="I20" s="13"/>
      <c r="K20" s="28"/>
      <c r="L20" s="28"/>
      <c r="M20" s="28"/>
    </row>
    <row r="21">
      <c r="A21" s="5" t="s">
        <v>76</v>
      </c>
      <c r="B21" s="5" t="s">
        <v>77</v>
      </c>
      <c r="C21" s="5" t="s">
        <v>78</v>
      </c>
      <c r="D21" s="5" t="s">
        <v>79</v>
      </c>
      <c r="H21" s="13"/>
      <c r="I21" s="13"/>
    </row>
    <row r="22">
      <c r="A22" s="30" t="s">
        <v>111</v>
      </c>
      <c r="B22" s="27" t="s">
        <v>7</v>
      </c>
      <c r="C22" s="30" t="s">
        <v>34</v>
      </c>
      <c r="D22" s="17" t="s">
        <v>112</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74.0</v>
      </c>
      <c r="C6" s="10">
        <v>97.0</v>
      </c>
      <c r="D6" s="11">
        <f t="shared" ref="D6:D12" si="1">AVERAGE(B6:C6)</f>
        <v>85.5</v>
      </c>
      <c r="E6" s="10">
        <f t="shared" ref="E6:E12" si="2">ROUND(F6*H6,0)</f>
        <v>75</v>
      </c>
      <c r="F6" s="10">
        <f>ROUND(F7 * 0.9,0)</f>
        <v>115</v>
      </c>
      <c r="G6" s="10">
        <f t="shared" ref="G6:G12" si="3">AVERAGE(E6:F6)</f>
        <v>95</v>
      </c>
      <c r="H6" s="10">
        <v>0.65</v>
      </c>
    </row>
    <row r="7" ht="22.5" customHeight="1">
      <c r="A7" s="10">
        <v>0.0</v>
      </c>
      <c r="B7" s="10">
        <v>81.0</v>
      </c>
      <c r="C7" s="10">
        <v>104.0</v>
      </c>
      <c r="D7" s="11">
        <f t="shared" si="1"/>
        <v>92.5</v>
      </c>
      <c r="E7" s="10">
        <f t="shared" si="2"/>
        <v>83</v>
      </c>
      <c r="F7" s="10">
        <v>128.0</v>
      </c>
      <c r="G7" s="10">
        <f t="shared" si="3"/>
        <v>105.5</v>
      </c>
      <c r="H7" s="10">
        <v>0.65</v>
      </c>
    </row>
    <row r="8" ht="22.5" customHeight="1">
      <c r="A8" s="10">
        <v>1.0</v>
      </c>
      <c r="B8" s="10">
        <v>90.0</v>
      </c>
      <c r="C8" s="10">
        <v>115.0</v>
      </c>
      <c r="D8" s="11">
        <f t="shared" si="1"/>
        <v>102.5</v>
      </c>
      <c r="E8" s="10">
        <f t="shared" si="2"/>
        <v>92</v>
      </c>
      <c r="F8" s="10">
        <f t="shared" ref="F8:F12" si="4">ROUND(F7*1.1,0)</f>
        <v>141</v>
      </c>
      <c r="G8" s="10">
        <f t="shared" si="3"/>
        <v>116.5</v>
      </c>
      <c r="H8" s="10">
        <v>0.65</v>
      </c>
    </row>
    <row r="9" ht="22.5" customHeight="1">
      <c r="A9" s="10">
        <v>2.0</v>
      </c>
      <c r="B9" s="10">
        <v>100.0</v>
      </c>
      <c r="C9" s="10">
        <v>128.0</v>
      </c>
      <c r="D9" s="11">
        <f t="shared" si="1"/>
        <v>114</v>
      </c>
      <c r="E9" s="10">
        <f t="shared" si="2"/>
        <v>101</v>
      </c>
      <c r="F9" s="10">
        <f t="shared" si="4"/>
        <v>155</v>
      </c>
      <c r="G9" s="10">
        <f t="shared" si="3"/>
        <v>128</v>
      </c>
      <c r="H9" s="10">
        <v>0.65</v>
      </c>
    </row>
    <row r="10" ht="16.5" customHeight="1">
      <c r="A10" s="10">
        <v>3.0</v>
      </c>
      <c r="B10" s="10">
        <v>111.0</v>
      </c>
      <c r="C10" s="10">
        <v>142.0</v>
      </c>
      <c r="D10" s="11">
        <f t="shared" si="1"/>
        <v>126.5</v>
      </c>
      <c r="E10" s="10">
        <f t="shared" si="2"/>
        <v>111</v>
      </c>
      <c r="F10" s="10">
        <f t="shared" si="4"/>
        <v>171</v>
      </c>
      <c r="G10" s="10">
        <f t="shared" si="3"/>
        <v>141</v>
      </c>
      <c r="H10" s="10">
        <v>0.65</v>
      </c>
    </row>
    <row r="11" ht="22.5" customHeight="1">
      <c r="A11" s="10">
        <v>4.0</v>
      </c>
      <c r="B11" s="10">
        <v>123.0</v>
      </c>
      <c r="C11" s="10">
        <v>158.0</v>
      </c>
      <c r="D11" s="11">
        <f t="shared" si="1"/>
        <v>140.5</v>
      </c>
      <c r="E11" s="10">
        <f t="shared" si="2"/>
        <v>122</v>
      </c>
      <c r="F11" s="10">
        <f t="shared" si="4"/>
        <v>188</v>
      </c>
      <c r="G11" s="10">
        <f t="shared" si="3"/>
        <v>155</v>
      </c>
      <c r="H11" s="10">
        <v>0.65</v>
      </c>
    </row>
    <row r="12" ht="22.5" customHeight="1">
      <c r="A12" s="10">
        <v>5.0</v>
      </c>
      <c r="B12" s="10">
        <v>137.0</v>
      </c>
      <c r="C12" s="10">
        <v>175.0</v>
      </c>
      <c r="D12" s="11">
        <f t="shared" si="1"/>
        <v>156</v>
      </c>
      <c r="E12" s="10">
        <f t="shared" si="2"/>
        <v>135</v>
      </c>
      <c r="F12" s="10">
        <f t="shared" si="4"/>
        <v>207</v>
      </c>
      <c r="G12" s="10">
        <f t="shared" si="3"/>
        <v>171</v>
      </c>
      <c r="H12" s="10">
        <v>0.65</v>
      </c>
      <c r="L12" s="31"/>
      <c r="M12" s="31"/>
      <c r="N12" s="31"/>
    </row>
    <row r="13">
      <c r="I13" s="1" t="s">
        <v>113</v>
      </c>
      <c r="L13" s="31"/>
      <c r="M13" s="31"/>
      <c r="N13" s="31"/>
    </row>
    <row r="14">
      <c r="L14" s="19"/>
      <c r="M14" s="19"/>
      <c r="N14" s="19"/>
    </row>
    <row r="15">
      <c r="M15" s="32"/>
    </row>
    <row r="16">
      <c r="A16" s="6" t="s">
        <v>68</v>
      </c>
      <c r="B16" s="7"/>
      <c r="C16" s="7"/>
      <c r="D16" s="12"/>
    </row>
    <row r="17">
      <c r="A17" s="5" t="s">
        <v>69</v>
      </c>
      <c r="B17" s="5" t="s">
        <v>70</v>
      </c>
      <c r="C17" s="6" t="s">
        <v>71</v>
      </c>
      <c r="D17" s="6" t="s">
        <v>94</v>
      </c>
      <c r="E17" s="5" t="s">
        <v>114</v>
      </c>
      <c r="F17" s="5" t="s">
        <v>89</v>
      </c>
    </row>
    <row r="18">
      <c r="A18" s="17" t="s">
        <v>85</v>
      </c>
      <c r="B18" s="17" t="s">
        <v>115</v>
      </c>
      <c r="C18" s="17" t="s">
        <v>116</v>
      </c>
      <c r="D18" s="17" t="s">
        <v>117</v>
      </c>
      <c r="E18" s="17" t="s">
        <v>118</v>
      </c>
      <c r="F18" s="17" t="s">
        <v>119</v>
      </c>
      <c r="H18" s="33"/>
    </row>
    <row r="20">
      <c r="A20" s="1" t="s">
        <v>75</v>
      </c>
    </row>
    <row r="21">
      <c r="A21" s="1" t="s">
        <v>76</v>
      </c>
      <c r="B21" s="1" t="s">
        <v>77</v>
      </c>
      <c r="C21" s="1" t="s">
        <v>78</v>
      </c>
      <c r="D21" s="1" t="s">
        <v>79</v>
      </c>
    </row>
    <row r="22" ht="36.0" customHeight="1">
      <c r="A22" s="34" t="s">
        <v>120</v>
      </c>
      <c r="B22" s="34" t="s">
        <v>8</v>
      </c>
      <c r="C22" s="34" t="s">
        <v>36</v>
      </c>
      <c r="D22" s="23" t="s">
        <v>121</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52.0</v>
      </c>
      <c r="C6" s="10">
        <v>99.0</v>
      </c>
      <c r="D6" s="11">
        <f t="shared" ref="D6:D12" si="1">AVERAGE(B6:C6)</f>
        <v>75.5</v>
      </c>
      <c r="E6" s="10">
        <f t="shared" ref="E6:E12" si="2">ROUND(F6*H6,0)</f>
        <v>57</v>
      </c>
      <c r="F6" s="10">
        <f>ROUND(F7 * 0.9,0)</f>
        <v>113</v>
      </c>
      <c r="G6" s="10">
        <f t="shared" ref="G6:G12" si="3">AVERAGE(E6:F6)</f>
        <v>85</v>
      </c>
      <c r="H6" s="10">
        <v>0.5</v>
      </c>
    </row>
    <row r="7" ht="22.5" customHeight="1">
      <c r="A7" s="10">
        <v>0.0</v>
      </c>
      <c r="B7" s="10">
        <v>55.0</v>
      </c>
      <c r="C7" s="10">
        <v>105.0</v>
      </c>
      <c r="D7" s="11">
        <f t="shared" si="1"/>
        <v>80</v>
      </c>
      <c r="E7" s="10">
        <f t="shared" si="2"/>
        <v>63</v>
      </c>
      <c r="F7" s="10">
        <v>126.0</v>
      </c>
      <c r="G7" s="10">
        <f t="shared" si="3"/>
        <v>94.5</v>
      </c>
      <c r="H7" s="10">
        <v>0.5</v>
      </c>
    </row>
    <row r="8" ht="22.5" customHeight="1">
      <c r="A8" s="10">
        <v>1.0</v>
      </c>
      <c r="B8" s="10">
        <v>61.0</v>
      </c>
      <c r="C8" s="10">
        <v>117.0</v>
      </c>
      <c r="D8" s="11">
        <f t="shared" si="1"/>
        <v>89</v>
      </c>
      <c r="E8" s="10">
        <f t="shared" si="2"/>
        <v>70</v>
      </c>
      <c r="F8" s="10">
        <f t="shared" ref="F8:F12" si="4">ROUND(F7*1.1,0)</f>
        <v>139</v>
      </c>
      <c r="G8" s="10">
        <f t="shared" si="3"/>
        <v>104.5</v>
      </c>
      <c r="H8" s="10">
        <v>0.5</v>
      </c>
    </row>
    <row r="9" ht="22.5" customHeight="1">
      <c r="A9" s="10">
        <v>2.0</v>
      </c>
      <c r="B9" s="10">
        <v>68.0</v>
      </c>
      <c r="C9" s="10">
        <v>130.0</v>
      </c>
      <c r="D9" s="11">
        <f t="shared" si="1"/>
        <v>99</v>
      </c>
      <c r="E9" s="10">
        <f t="shared" si="2"/>
        <v>77</v>
      </c>
      <c r="F9" s="10">
        <f t="shared" si="4"/>
        <v>153</v>
      </c>
      <c r="G9" s="10">
        <f t="shared" si="3"/>
        <v>115</v>
      </c>
      <c r="H9" s="10">
        <v>0.5</v>
      </c>
    </row>
    <row r="10" ht="22.5" customHeight="1">
      <c r="A10" s="10">
        <v>3.0</v>
      </c>
      <c r="B10" s="10">
        <v>75.0</v>
      </c>
      <c r="C10" s="10">
        <v>144.0</v>
      </c>
      <c r="D10" s="11">
        <f t="shared" si="1"/>
        <v>109.5</v>
      </c>
      <c r="E10" s="10">
        <f t="shared" si="2"/>
        <v>84</v>
      </c>
      <c r="F10" s="10">
        <f t="shared" si="4"/>
        <v>168</v>
      </c>
      <c r="G10" s="10">
        <f t="shared" si="3"/>
        <v>126</v>
      </c>
      <c r="H10" s="10">
        <v>0.5</v>
      </c>
    </row>
    <row r="11" ht="22.5" customHeight="1">
      <c r="A11" s="10">
        <v>4.0</v>
      </c>
      <c r="B11" s="10">
        <v>83.0</v>
      </c>
      <c r="C11" s="10">
        <v>160.0</v>
      </c>
      <c r="D11" s="11">
        <f t="shared" si="1"/>
        <v>121.5</v>
      </c>
      <c r="E11" s="10">
        <f t="shared" si="2"/>
        <v>93</v>
      </c>
      <c r="F11" s="10">
        <f t="shared" si="4"/>
        <v>185</v>
      </c>
      <c r="G11" s="10">
        <f t="shared" si="3"/>
        <v>139</v>
      </c>
      <c r="H11" s="10">
        <v>0.5</v>
      </c>
    </row>
    <row r="12" ht="22.5" customHeight="1">
      <c r="A12" s="10">
        <v>5.0</v>
      </c>
      <c r="B12" s="10">
        <v>92.0</v>
      </c>
      <c r="C12" s="10">
        <v>178.0</v>
      </c>
      <c r="D12" s="11">
        <f t="shared" si="1"/>
        <v>135</v>
      </c>
      <c r="E12" s="10">
        <f t="shared" si="2"/>
        <v>102</v>
      </c>
      <c r="F12" s="10">
        <f t="shared" si="4"/>
        <v>204</v>
      </c>
      <c r="G12" s="10">
        <f t="shared" si="3"/>
        <v>153</v>
      </c>
      <c r="H12" s="10">
        <v>0.5</v>
      </c>
    </row>
    <row r="14">
      <c r="A14" s="6" t="s">
        <v>68</v>
      </c>
      <c r="B14" s="7"/>
      <c r="C14" s="8"/>
      <c r="D14" s="9"/>
      <c r="E14" s="9"/>
    </row>
    <row r="15" ht="21.75" customHeight="1">
      <c r="A15" s="5" t="s">
        <v>69</v>
      </c>
      <c r="B15" s="5" t="s">
        <v>70</v>
      </c>
      <c r="C15" s="5" t="s">
        <v>71</v>
      </c>
      <c r="D15" s="5" t="s">
        <v>94</v>
      </c>
      <c r="E15" s="5" t="s">
        <v>122</v>
      </c>
    </row>
    <row r="16">
      <c r="A16" s="35" t="s">
        <v>85</v>
      </c>
      <c r="B16" s="17" t="s">
        <v>123</v>
      </c>
      <c r="C16" s="17" t="s">
        <v>124</v>
      </c>
      <c r="D16" s="17" t="s">
        <v>125</v>
      </c>
      <c r="E16" s="14" t="s">
        <v>126</v>
      </c>
    </row>
    <row r="20">
      <c r="A20" s="1" t="s">
        <v>75</v>
      </c>
    </row>
    <row r="21">
      <c r="A21" s="1" t="s">
        <v>76</v>
      </c>
      <c r="B21" s="1" t="s">
        <v>77</v>
      </c>
      <c r="C21" s="1" t="s">
        <v>78</v>
      </c>
      <c r="D21" s="1" t="s">
        <v>79</v>
      </c>
    </row>
    <row r="22">
      <c r="A22" s="34" t="s">
        <v>127</v>
      </c>
      <c r="B22" s="34" t="s">
        <v>15</v>
      </c>
      <c r="C22" s="34" t="s">
        <v>128</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68</v>
      </c>
      <c r="B14" s="7"/>
      <c r="C14" s="7"/>
      <c r="D14" s="7"/>
    </row>
    <row r="15">
      <c r="A15" s="5" t="s">
        <v>69</v>
      </c>
      <c r="B15" s="5" t="s">
        <v>70</v>
      </c>
      <c r="C15" s="6" t="s">
        <v>71</v>
      </c>
      <c r="D15" s="12" t="s">
        <v>94</v>
      </c>
      <c r="L15" s="28"/>
      <c r="M15" s="28"/>
      <c r="N15" s="28"/>
      <c r="O15" s="28"/>
      <c r="P15" s="28"/>
    </row>
    <row r="16">
      <c r="A16" s="17" t="s">
        <v>129</v>
      </c>
      <c r="B16" s="17" t="s">
        <v>130</v>
      </c>
      <c r="C16" s="25" t="s">
        <v>131</v>
      </c>
      <c r="D16" s="29" t="s">
        <v>132</v>
      </c>
    </row>
    <row r="20">
      <c r="A20" s="1" t="s">
        <v>84</v>
      </c>
    </row>
    <row r="21">
      <c r="A21" s="1" t="s">
        <v>76</v>
      </c>
      <c r="B21" s="1" t="s">
        <v>77</v>
      </c>
      <c r="C21" s="1" t="s">
        <v>78</v>
      </c>
      <c r="D21" s="1" t="s">
        <v>79</v>
      </c>
    </row>
    <row r="22">
      <c r="A22" s="34" t="s">
        <v>7</v>
      </c>
      <c r="B22" s="34" t="s">
        <v>133</v>
      </c>
      <c r="C22" s="34" t="s">
        <v>134</v>
      </c>
      <c r="D22" s="23" t="s">
        <v>128</v>
      </c>
    </row>
  </sheetData>
  <mergeCells count="4">
    <mergeCell ref="B3:G3"/>
    <mergeCell ref="L10:R10"/>
    <mergeCell ref="T10:Z10"/>
    <mergeCell ref="A14:D14"/>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76.0</v>
      </c>
      <c r="C6" s="10">
        <v>113.0</v>
      </c>
      <c r="D6" s="11">
        <f t="shared" ref="D6:D12" si="1">AVERAGE(B6:C6)</f>
        <v>94.5</v>
      </c>
      <c r="E6" s="10">
        <f t="shared" ref="E6:E12" si="2">ROUND(F6*H6,0)</f>
        <v>61</v>
      </c>
      <c r="F6" s="10">
        <f>ROUND(F7 * 0.9,0)</f>
        <v>122</v>
      </c>
      <c r="G6" s="10">
        <f t="shared" ref="G6:G12" si="3">AVERAGE(E6:F6)</f>
        <v>91.5</v>
      </c>
      <c r="H6" s="10">
        <v>0.5</v>
      </c>
    </row>
    <row r="7" ht="22.5" customHeight="1">
      <c r="A7" s="10">
        <v>0.0</v>
      </c>
      <c r="B7" s="10">
        <v>78.0</v>
      </c>
      <c r="C7" s="10">
        <v>120.0</v>
      </c>
      <c r="D7" s="11">
        <f t="shared" si="1"/>
        <v>99</v>
      </c>
      <c r="E7" s="10">
        <f t="shared" si="2"/>
        <v>68</v>
      </c>
      <c r="F7" s="10">
        <v>136.0</v>
      </c>
      <c r="G7" s="10">
        <f t="shared" si="3"/>
        <v>102</v>
      </c>
      <c r="H7" s="10">
        <v>0.5</v>
      </c>
    </row>
    <row r="8" ht="22.5" customHeight="1">
      <c r="A8" s="10">
        <v>1.0</v>
      </c>
      <c r="B8" s="10">
        <v>82.0</v>
      </c>
      <c r="C8" s="10">
        <v>134.0</v>
      </c>
      <c r="D8" s="11">
        <f t="shared" si="1"/>
        <v>108</v>
      </c>
      <c r="E8" s="10">
        <f t="shared" si="2"/>
        <v>75</v>
      </c>
      <c r="F8" s="10">
        <f t="shared" ref="F8:F12" si="4">ROUND(F7*1.1,0)</f>
        <v>150</v>
      </c>
      <c r="G8" s="10">
        <f t="shared" si="3"/>
        <v>112.5</v>
      </c>
      <c r="H8" s="10">
        <v>0.5</v>
      </c>
    </row>
    <row r="9" ht="22.5" customHeight="1">
      <c r="A9" s="10">
        <v>2.0</v>
      </c>
      <c r="B9" s="10">
        <v>86.0</v>
      </c>
      <c r="C9" s="10">
        <v>150.0</v>
      </c>
      <c r="D9" s="11">
        <f t="shared" si="1"/>
        <v>118</v>
      </c>
      <c r="E9" s="10">
        <f t="shared" si="2"/>
        <v>83</v>
      </c>
      <c r="F9" s="10">
        <f t="shared" si="4"/>
        <v>165</v>
      </c>
      <c r="G9" s="10">
        <f t="shared" si="3"/>
        <v>124</v>
      </c>
      <c r="H9" s="10">
        <v>0.5</v>
      </c>
    </row>
    <row r="10" ht="22.5" customHeight="1">
      <c r="A10" s="10">
        <v>3.0</v>
      </c>
      <c r="B10" s="10">
        <v>90.0</v>
      </c>
      <c r="C10" s="10">
        <v>168.0</v>
      </c>
      <c r="D10" s="11">
        <f t="shared" si="1"/>
        <v>129</v>
      </c>
      <c r="E10" s="10">
        <f t="shared" si="2"/>
        <v>91</v>
      </c>
      <c r="F10" s="10">
        <f t="shared" si="4"/>
        <v>182</v>
      </c>
      <c r="G10" s="10">
        <f t="shared" si="3"/>
        <v>136.5</v>
      </c>
      <c r="H10" s="10">
        <v>0.5</v>
      </c>
    </row>
    <row r="11" ht="22.5" customHeight="1">
      <c r="A11" s="10">
        <v>4.0</v>
      </c>
      <c r="B11" s="10">
        <v>95.0</v>
      </c>
      <c r="C11" s="10">
        <v>188.0</v>
      </c>
      <c r="D11" s="11">
        <f t="shared" si="1"/>
        <v>141.5</v>
      </c>
      <c r="E11" s="10">
        <f t="shared" si="2"/>
        <v>100</v>
      </c>
      <c r="F11" s="10">
        <f t="shared" si="4"/>
        <v>200</v>
      </c>
      <c r="G11" s="10">
        <f t="shared" si="3"/>
        <v>150</v>
      </c>
      <c r="H11" s="10">
        <v>0.5</v>
      </c>
    </row>
    <row r="12" ht="16.5" customHeight="1">
      <c r="A12" s="10">
        <v>5.0</v>
      </c>
      <c r="B12" s="10">
        <v>100.0</v>
      </c>
      <c r="C12" s="10">
        <v>211.0</v>
      </c>
      <c r="D12" s="11">
        <f t="shared" si="1"/>
        <v>155.5</v>
      </c>
      <c r="E12" s="10">
        <f t="shared" si="2"/>
        <v>110</v>
      </c>
      <c r="F12" s="10">
        <f t="shared" si="4"/>
        <v>220</v>
      </c>
      <c r="G12" s="10">
        <f t="shared" si="3"/>
        <v>165</v>
      </c>
      <c r="H12" s="10">
        <v>0.5</v>
      </c>
    </row>
    <row r="13" ht="16.5" customHeight="1"/>
    <row r="14">
      <c r="A14" s="6" t="s">
        <v>68</v>
      </c>
      <c r="B14" s="7"/>
      <c r="C14" s="7"/>
      <c r="D14" s="7"/>
    </row>
    <row r="15">
      <c r="A15" s="5" t="s">
        <v>69</v>
      </c>
      <c r="B15" s="5" t="s">
        <v>70</v>
      </c>
      <c r="C15" s="6" t="s">
        <v>71</v>
      </c>
      <c r="D15" s="36" t="s">
        <v>94</v>
      </c>
      <c r="E15" s="1" t="s">
        <v>122</v>
      </c>
    </row>
    <row r="16">
      <c r="A16" s="17" t="s">
        <v>135</v>
      </c>
      <c r="B16" s="17" t="s">
        <v>136</v>
      </c>
      <c r="C16" s="25" t="s">
        <v>137</v>
      </c>
      <c r="D16" s="26" t="s">
        <v>138</v>
      </c>
      <c r="E16" s="1" t="s">
        <v>139</v>
      </c>
    </row>
    <row r="19">
      <c r="L19" s="13"/>
      <c r="M19" s="13"/>
    </row>
    <row r="20">
      <c r="A20" s="1" t="s">
        <v>84</v>
      </c>
    </row>
    <row r="21">
      <c r="A21" s="1" t="s">
        <v>76</v>
      </c>
      <c r="B21" s="1" t="s">
        <v>77</v>
      </c>
      <c r="C21" s="1" t="s">
        <v>78</v>
      </c>
      <c r="D21" s="1" t="s">
        <v>79</v>
      </c>
    </row>
    <row r="22">
      <c r="A22" s="34" t="s">
        <v>13</v>
      </c>
      <c r="B22" s="34" t="s">
        <v>101</v>
      </c>
      <c r="C22" s="34" t="s">
        <v>102</v>
      </c>
      <c r="D22" s="23" t="s">
        <v>106</v>
      </c>
    </row>
  </sheetData>
  <mergeCells count="3">
    <mergeCell ref="B3:G3"/>
    <mergeCell ref="L13:R13"/>
    <mergeCell ref="A14:D14"/>
  </mergeCells>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47.0</v>
      </c>
      <c r="C6" s="10">
        <v>55.0</v>
      </c>
      <c r="D6" s="11">
        <f t="shared" ref="D6:D12" si="1">AVERAGE(B6:C6)</f>
        <v>51</v>
      </c>
      <c r="E6" s="10">
        <f t="shared" ref="E6:E12" si="2">ROUND(F6*H6,0)</f>
        <v>54</v>
      </c>
      <c r="F6" s="10">
        <f>ROUND(F7 * 0.9,0)</f>
        <v>68</v>
      </c>
      <c r="G6" s="10">
        <f t="shared" ref="G6:G12" si="3">AVERAGE(E6:F6)</f>
        <v>61</v>
      </c>
      <c r="H6" s="10">
        <v>0.8</v>
      </c>
    </row>
    <row r="7" ht="22.5" customHeight="1">
      <c r="A7" s="10">
        <v>0.0</v>
      </c>
      <c r="B7" s="10">
        <v>49.0</v>
      </c>
      <c r="C7" s="10">
        <v>58.0</v>
      </c>
      <c r="D7" s="11">
        <f t="shared" si="1"/>
        <v>53.5</v>
      </c>
      <c r="E7" s="10">
        <f t="shared" si="2"/>
        <v>61</v>
      </c>
      <c r="F7" s="10">
        <v>76.0</v>
      </c>
      <c r="G7" s="10">
        <f t="shared" si="3"/>
        <v>68.5</v>
      </c>
      <c r="H7" s="10">
        <v>0.8</v>
      </c>
    </row>
    <row r="8" ht="22.5" customHeight="1">
      <c r="A8" s="10">
        <v>1.0</v>
      </c>
      <c r="B8" s="10">
        <v>54.0</v>
      </c>
      <c r="C8" s="10">
        <v>64.0</v>
      </c>
      <c r="D8" s="11">
        <f t="shared" si="1"/>
        <v>59</v>
      </c>
      <c r="E8" s="10">
        <f t="shared" si="2"/>
        <v>67</v>
      </c>
      <c r="F8" s="10">
        <f t="shared" ref="F8:F12" si="4">ROUND(F7*1.1,0)</f>
        <v>84</v>
      </c>
      <c r="G8" s="10">
        <f t="shared" si="3"/>
        <v>75.5</v>
      </c>
      <c r="H8" s="10">
        <v>0.8</v>
      </c>
    </row>
    <row r="9" ht="22.5" customHeight="1">
      <c r="A9" s="10">
        <v>2.0</v>
      </c>
      <c r="B9" s="10">
        <v>59.0</v>
      </c>
      <c r="C9" s="10">
        <v>70.0</v>
      </c>
      <c r="D9" s="11">
        <f t="shared" si="1"/>
        <v>64.5</v>
      </c>
      <c r="E9" s="10">
        <f t="shared" si="2"/>
        <v>74</v>
      </c>
      <c r="F9" s="10">
        <f t="shared" si="4"/>
        <v>92</v>
      </c>
      <c r="G9" s="10">
        <f t="shared" si="3"/>
        <v>83</v>
      </c>
      <c r="H9" s="10">
        <v>0.8</v>
      </c>
    </row>
    <row r="10" ht="22.5" customHeight="1">
      <c r="A10" s="10">
        <v>3.0</v>
      </c>
      <c r="B10" s="10">
        <v>65.0</v>
      </c>
      <c r="C10" s="10">
        <v>77.0</v>
      </c>
      <c r="D10" s="11">
        <f t="shared" si="1"/>
        <v>71</v>
      </c>
      <c r="E10" s="10">
        <f t="shared" si="2"/>
        <v>81</v>
      </c>
      <c r="F10" s="10">
        <f t="shared" si="4"/>
        <v>101</v>
      </c>
      <c r="G10" s="10">
        <f t="shared" si="3"/>
        <v>91</v>
      </c>
      <c r="H10" s="10">
        <v>0.8</v>
      </c>
    </row>
    <row r="11" ht="22.5" customHeight="1">
      <c r="A11" s="10">
        <v>4.0</v>
      </c>
      <c r="B11" s="10">
        <v>72.0</v>
      </c>
      <c r="C11" s="10">
        <v>85.0</v>
      </c>
      <c r="D11" s="11">
        <f t="shared" si="1"/>
        <v>78.5</v>
      </c>
      <c r="E11" s="10">
        <f t="shared" si="2"/>
        <v>89</v>
      </c>
      <c r="F11" s="10">
        <f t="shared" si="4"/>
        <v>111</v>
      </c>
      <c r="G11" s="10">
        <f t="shared" si="3"/>
        <v>100</v>
      </c>
      <c r="H11" s="10">
        <v>0.8</v>
      </c>
    </row>
    <row r="12" ht="22.5" customHeight="1">
      <c r="A12" s="10">
        <v>5.0</v>
      </c>
      <c r="B12" s="10">
        <v>79.0</v>
      </c>
      <c r="C12" s="10">
        <v>94.0</v>
      </c>
      <c r="D12" s="11">
        <f t="shared" si="1"/>
        <v>86.5</v>
      </c>
      <c r="E12" s="10">
        <f t="shared" si="2"/>
        <v>98</v>
      </c>
      <c r="F12" s="10">
        <f t="shared" si="4"/>
        <v>122</v>
      </c>
      <c r="G12" s="10">
        <f t="shared" si="3"/>
        <v>110</v>
      </c>
      <c r="H12" s="10">
        <v>0.8</v>
      </c>
    </row>
    <row r="14" ht="11.25" customHeight="1">
      <c r="K14" s="1"/>
    </row>
    <row r="15">
      <c r="A15" s="6" t="s">
        <v>68</v>
      </c>
      <c r="B15" s="7"/>
      <c r="C15" s="7"/>
      <c r="L15" s="1"/>
    </row>
    <row r="16" ht="39.0" customHeight="1">
      <c r="A16" s="5" t="s">
        <v>69</v>
      </c>
      <c r="B16" s="5" t="s">
        <v>70</v>
      </c>
      <c r="C16" s="6" t="s">
        <v>71</v>
      </c>
      <c r="L16" s="1"/>
      <c r="M16" s="1"/>
      <c r="N16" s="1"/>
    </row>
    <row r="17" ht="138.0" customHeight="1">
      <c r="A17" s="17" t="s">
        <v>140</v>
      </c>
      <c r="B17" s="17" t="s">
        <v>141</v>
      </c>
      <c r="C17" s="25" t="s">
        <v>85</v>
      </c>
      <c r="L17" s="23"/>
      <c r="M17" s="23"/>
      <c r="N17" s="23"/>
    </row>
    <row r="20">
      <c r="A20" s="1" t="s">
        <v>84</v>
      </c>
    </row>
    <row r="21">
      <c r="A21" s="1" t="s">
        <v>76</v>
      </c>
      <c r="B21" s="1" t="s">
        <v>77</v>
      </c>
      <c r="C21" s="1" t="s">
        <v>78</v>
      </c>
      <c r="D21" s="1" t="s">
        <v>79</v>
      </c>
    </row>
    <row r="22">
      <c r="A22" s="34" t="s">
        <v>121</v>
      </c>
      <c r="B22" s="34" t="s">
        <v>142</v>
      </c>
      <c r="C22" s="34" t="s">
        <v>32</v>
      </c>
      <c r="D22" s="23" t="s">
        <v>13</v>
      </c>
    </row>
  </sheetData>
  <mergeCells count="3">
    <mergeCell ref="B3:G3"/>
    <mergeCell ref="A15:C15"/>
    <mergeCell ref="L15:N15"/>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68</v>
      </c>
      <c r="B14" s="7"/>
      <c r="C14" s="7"/>
      <c r="D14" s="7"/>
    </row>
    <row r="15">
      <c r="A15" s="5" t="s">
        <v>69</v>
      </c>
      <c r="B15" s="5" t="s">
        <v>70</v>
      </c>
      <c r="C15" s="6" t="s">
        <v>71</v>
      </c>
      <c r="D15" s="12" t="s">
        <v>94</v>
      </c>
    </row>
    <row r="16" ht="154.5" customHeight="1">
      <c r="A16" s="17" t="s">
        <v>143</v>
      </c>
      <c r="B16" s="17" t="s">
        <v>144</v>
      </c>
      <c r="C16" s="25" t="s">
        <v>145</v>
      </c>
      <c r="D16" s="29" t="s">
        <v>85</v>
      </c>
      <c r="I16" s="1"/>
    </row>
    <row r="17">
      <c r="A17" s="1"/>
      <c r="L17" s="13"/>
    </row>
    <row r="18">
      <c r="K18" s="13"/>
      <c r="M18" s="13"/>
    </row>
    <row r="19">
      <c r="M19" s="13"/>
      <c r="N19" s="13"/>
    </row>
    <row r="20">
      <c r="A20" s="1" t="s">
        <v>84</v>
      </c>
      <c r="K20" s="13"/>
      <c r="M20" s="13"/>
    </row>
    <row r="21">
      <c r="A21" s="1" t="s">
        <v>146</v>
      </c>
      <c r="B21" s="1" t="s">
        <v>77</v>
      </c>
      <c r="C21" s="1" t="s">
        <v>78</v>
      </c>
      <c r="D21" s="1" t="s">
        <v>79</v>
      </c>
      <c r="I21" s="28"/>
      <c r="J21" s="28"/>
      <c r="K21" s="28"/>
      <c r="L21" s="13"/>
      <c r="M21" s="28"/>
      <c r="N21" s="28"/>
      <c r="O21" s="28"/>
      <c r="P21" s="28"/>
      <c r="Q21" s="28"/>
      <c r="R21" s="28"/>
    </row>
    <row r="22">
      <c r="A22" s="1" t="s">
        <v>7</v>
      </c>
      <c r="B22" s="34" t="s">
        <v>15</v>
      </c>
      <c r="C22" s="34" t="s">
        <v>105</v>
      </c>
      <c r="D22" s="23" t="s">
        <v>147</v>
      </c>
      <c r="L22" s="13"/>
    </row>
    <row r="23">
      <c r="L23" s="13"/>
    </row>
  </sheetData>
  <mergeCells count="2">
    <mergeCell ref="B3:G3"/>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68</v>
      </c>
      <c r="B14" s="7"/>
      <c r="C14" s="8"/>
      <c r="K14" s="1"/>
    </row>
    <row r="15" ht="51.75" customHeight="1">
      <c r="A15" s="5" t="s">
        <v>69</v>
      </c>
      <c r="B15" s="5" t="s">
        <v>70</v>
      </c>
      <c r="C15" s="5" t="s">
        <v>71</v>
      </c>
      <c r="D15" s="5" t="s">
        <v>148</v>
      </c>
    </row>
    <row r="16" ht="43.5" customHeight="1">
      <c r="A16" s="14" t="s">
        <v>149</v>
      </c>
      <c r="B16" s="14" t="s">
        <v>150</v>
      </c>
      <c r="C16" s="14" t="s">
        <v>151</v>
      </c>
      <c r="D16" s="14" t="s">
        <v>152</v>
      </c>
    </row>
    <row r="18">
      <c r="M18" s="13"/>
    </row>
    <row r="19">
      <c r="M19" s="13"/>
    </row>
    <row r="20">
      <c r="A20" s="1" t="s">
        <v>84</v>
      </c>
      <c r="M20" s="13"/>
    </row>
    <row r="21">
      <c r="A21" s="1" t="s">
        <v>76</v>
      </c>
      <c r="B21" s="1" t="s">
        <v>77</v>
      </c>
      <c r="C21" s="1" t="s">
        <v>78</v>
      </c>
      <c r="D21" s="1" t="s">
        <v>79</v>
      </c>
      <c r="M21" s="13"/>
    </row>
    <row r="22">
      <c r="A22" s="34" t="s">
        <v>15</v>
      </c>
      <c r="B22" s="34" t="s">
        <v>2</v>
      </c>
      <c r="C22" s="34" t="s">
        <v>16</v>
      </c>
      <c r="D22" s="23" t="s">
        <v>34</v>
      </c>
      <c r="M22" s="13"/>
    </row>
    <row r="23">
      <c r="M23" s="13"/>
    </row>
    <row r="24">
      <c r="M24" s="13"/>
    </row>
    <row r="25">
      <c r="M25" s="37"/>
    </row>
  </sheetData>
  <mergeCells count="3">
    <mergeCell ref="B3:G3"/>
    <mergeCell ref="A14:C14"/>
    <mergeCell ref="K16:O16"/>
  </mergeCells>
  <drawing r:id="rId4"/>
  <legacyDrawing r:id="rId5"/>
  <tableParts count="1">
    <tablePart r:id="rId7"/>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109.0</v>
      </c>
      <c r="C6" s="10">
        <v>218.0</v>
      </c>
      <c r="D6" s="11">
        <f t="shared" ref="D6:D12" si="1">AVERAGE(B6:C6)</f>
        <v>163.5</v>
      </c>
      <c r="E6" s="10">
        <f t="shared" ref="E6:E12" si="2">ROUND(F6*H6,0)</f>
        <v>99</v>
      </c>
      <c r="F6" s="10">
        <f>ROUND(F7 * 0.9,0)</f>
        <v>153</v>
      </c>
      <c r="G6" s="10">
        <f t="shared" ref="G6:G12" si="3">AVERAGE(E6:F6)</f>
        <v>126</v>
      </c>
      <c r="H6" s="10">
        <v>0.65</v>
      </c>
    </row>
    <row r="7" ht="22.5" customHeight="1">
      <c r="A7" s="10">
        <v>0.0</v>
      </c>
      <c r="B7" s="10">
        <v>145.0</v>
      </c>
      <c r="C7" s="10">
        <v>185.0</v>
      </c>
      <c r="D7" s="11">
        <f t="shared" si="1"/>
        <v>165</v>
      </c>
      <c r="E7" s="10">
        <f t="shared" si="2"/>
        <v>111</v>
      </c>
      <c r="F7" s="10">
        <v>170.0</v>
      </c>
      <c r="G7" s="10">
        <f t="shared" si="3"/>
        <v>140.5</v>
      </c>
      <c r="H7" s="10">
        <v>0.65</v>
      </c>
    </row>
    <row r="8" ht="22.5" customHeight="1">
      <c r="A8" s="10">
        <v>1.0</v>
      </c>
      <c r="B8" s="10">
        <v>160.0</v>
      </c>
      <c r="C8" s="10">
        <v>204.0</v>
      </c>
      <c r="D8" s="11">
        <f t="shared" si="1"/>
        <v>182</v>
      </c>
      <c r="E8" s="10">
        <f t="shared" si="2"/>
        <v>122</v>
      </c>
      <c r="F8" s="10">
        <f t="shared" ref="F8:F12" si="4">ROUND(F7*1.1,0)</f>
        <v>187</v>
      </c>
      <c r="G8" s="10">
        <f t="shared" si="3"/>
        <v>154.5</v>
      </c>
      <c r="H8" s="10">
        <v>0.65</v>
      </c>
    </row>
    <row r="9" ht="22.5" customHeight="1">
      <c r="A9" s="10">
        <v>2.0</v>
      </c>
      <c r="B9" s="10">
        <v>176.0</v>
      </c>
      <c r="C9" s="10">
        <v>224.0</v>
      </c>
      <c r="D9" s="11">
        <f t="shared" si="1"/>
        <v>200</v>
      </c>
      <c r="E9" s="10">
        <f t="shared" si="2"/>
        <v>134</v>
      </c>
      <c r="F9" s="10">
        <f t="shared" si="4"/>
        <v>206</v>
      </c>
      <c r="G9" s="10">
        <f t="shared" si="3"/>
        <v>170</v>
      </c>
      <c r="H9" s="10">
        <v>0.65</v>
      </c>
    </row>
    <row r="10" ht="22.5" customHeight="1">
      <c r="A10" s="10">
        <v>3.0</v>
      </c>
      <c r="B10" s="10">
        <v>194.0</v>
      </c>
      <c r="C10" s="10">
        <v>246.0</v>
      </c>
      <c r="D10" s="11">
        <f t="shared" si="1"/>
        <v>220</v>
      </c>
      <c r="E10" s="10">
        <f t="shared" si="2"/>
        <v>148</v>
      </c>
      <c r="F10" s="10">
        <f t="shared" si="4"/>
        <v>227</v>
      </c>
      <c r="G10" s="10">
        <f t="shared" si="3"/>
        <v>187.5</v>
      </c>
      <c r="H10" s="10">
        <v>0.65</v>
      </c>
    </row>
    <row r="11" ht="22.5" customHeight="1">
      <c r="A11" s="10">
        <v>4.0</v>
      </c>
      <c r="B11" s="10">
        <v>213.0</v>
      </c>
      <c r="C11" s="10">
        <v>271.0</v>
      </c>
      <c r="D11" s="11">
        <f t="shared" si="1"/>
        <v>242</v>
      </c>
      <c r="E11" s="10">
        <f t="shared" si="2"/>
        <v>163</v>
      </c>
      <c r="F11" s="10">
        <f t="shared" si="4"/>
        <v>250</v>
      </c>
      <c r="G11" s="10">
        <f t="shared" si="3"/>
        <v>206.5</v>
      </c>
      <c r="H11" s="10">
        <v>0.65</v>
      </c>
    </row>
    <row r="12" ht="22.5" customHeight="1">
      <c r="A12" s="10">
        <v>5.0</v>
      </c>
      <c r="B12" s="10">
        <v>234.0</v>
      </c>
      <c r="C12" s="10">
        <v>298.0</v>
      </c>
      <c r="D12" s="11">
        <f t="shared" si="1"/>
        <v>266</v>
      </c>
      <c r="E12" s="10">
        <f t="shared" si="2"/>
        <v>179</v>
      </c>
      <c r="F12" s="10">
        <f t="shared" si="4"/>
        <v>275</v>
      </c>
      <c r="G12" s="10">
        <f t="shared" si="3"/>
        <v>227</v>
      </c>
      <c r="H12" s="10">
        <v>0.65</v>
      </c>
    </row>
    <row r="13" ht="16.5" customHeight="1"/>
    <row r="14">
      <c r="A14" s="6" t="s">
        <v>68</v>
      </c>
      <c r="B14" s="7"/>
      <c r="C14" s="7"/>
      <c r="D14" s="7"/>
    </row>
    <row r="15">
      <c r="A15" s="5" t="s">
        <v>69</v>
      </c>
      <c r="B15" s="5" t="s">
        <v>70</v>
      </c>
      <c r="C15" s="6" t="s">
        <v>71</v>
      </c>
      <c r="D15" s="36" t="s">
        <v>94</v>
      </c>
      <c r="E15" s="1" t="s">
        <v>122</v>
      </c>
    </row>
    <row r="16" ht="135.75" customHeight="1">
      <c r="A16" s="17" t="s">
        <v>153</v>
      </c>
      <c r="B16" s="17" t="s">
        <v>154</v>
      </c>
      <c r="C16" s="25" t="s">
        <v>155</v>
      </c>
      <c r="D16" s="17" t="s">
        <v>156</v>
      </c>
      <c r="E16" s="23" t="s">
        <v>157</v>
      </c>
    </row>
    <row r="17">
      <c r="A17" s="1"/>
      <c r="I17" s="1"/>
    </row>
    <row r="20">
      <c r="A20" s="1" t="s">
        <v>84</v>
      </c>
    </row>
    <row r="21">
      <c r="A21" s="1" t="s">
        <v>76</v>
      </c>
      <c r="B21" s="1" t="s">
        <v>77</v>
      </c>
      <c r="C21" s="1" t="s">
        <v>78</v>
      </c>
      <c r="D21" s="1" t="s">
        <v>79</v>
      </c>
    </row>
    <row r="22">
      <c r="A22" s="34" t="s">
        <v>128</v>
      </c>
      <c r="B22" s="34" t="s">
        <v>101</v>
      </c>
      <c r="C22" s="34" t="s">
        <v>121</v>
      </c>
      <c r="D22" s="23" t="s">
        <v>158</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68</v>
      </c>
      <c r="B14" s="7"/>
      <c r="C14" s="7"/>
      <c r="D14" s="7"/>
    </row>
    <row r="15">
      <c r="A15" s="5" t="s">
        <v>69</v>
      </c>
      <c r="B15" s="5" t="s">
        <v>70</v>
      </c>
      <c r="C15" s="6" t="s">
        <v>71</v>
      </c>
      <c r="D15" s="12" t="s">
        <v>94</v>
      </c>
      <c r="E15" s="1" t="s">
        <v>122</v>
      </c>
    </row>
    <row r="16" ht="150.75" customHeight="1">
      <c r="A16" s="17" t="s">
        <v>85</v>
      </c>
      <c r="B16" s="17" t="s">
        <v>92</v>
      </c>
      <c r="C16" s="25" t="s">
        <v>159</v>
      </c>
      <c r="D16" s="29" t="s">
        <v>160</v>
      </c>
      <c r="E16" s="38" t="s">
        <v>161</v>
      </c>
    </row>
    <row r="17">
      <c r="A17" s="1"/>
    </row>
    <row r="20">
      <c r="A20" s="1" t="s">
        <v>84</v>
      </c>
    </row>
    <row r="21">
      <c r="A21" s="1" t="s">
        <v>76</v>
      </c>
      <c r="B21" s="1" t="s">
        <v>77</v>
      </c>
      <c r="C21" s="1" t="s">
        <v>78</v>
      </c>
      <c r="D21" s="1" t="s">
        <v>79</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59</v>
      </c>
    </row>
    <row r="3">
      <c r="A3" s="5"/>
      <c r="B3" s="6" t="s">
        <v>60</v>
      </c>
      <c r="C3" s="7"/>
      <c r="D3" s="7"/>
      <c r="E3" s="7"/>
      <c r="F3" s="7"/>
      <c r="G3" s="8"/>
      <c r="H3" s="9"/>
    </row>
    <row r="4">
      <c r="A4" s="1"/>
      <c r="B4" s="1"/>
      <c r="C4" s="1"/>
      <c r="D4" s="1"/>
      <c r="E4" s="1"/>
      <c r="F4" s="1"/>
      <c r="G4" s="1"/>
      <c r="H4" s="1"/>
      <c r="T4" s="1"/>
      <c r="U4" s="1"/>
    </row>
    <row r="5" ht="22.5" customHeight="1">
      <c r="A5" s="2" t="s">
        <v>1</v>
      </c>
      <c r="B5" s="2" t="s">
        <v>61</v>
      </c>
      <c r="C5" s="2" t="s">
        <v>62</v>
      </c>
      <c r="D5" s="2" t="s">
        <v>63</v>
      </c>
      <c r="E5" s="2" t="s">
        <v>64</v>
      </c>
      <c r="F5" s="2" t="s">
        <v>65</v>
      </c>
      <c r="G5" s="2" t="s">
        <v>66</v>
      </c>
      <c r="H5" s="2" t="s">
        <v>67</v>
      </c>
    </row>
    <row r="6" ht="22.5" customHeight="1">
      <c r="A6" s="10">
        <v>-1.0</v>
      </c>
      <c r="B6" s="10">
        <v>43.0</v>
      </c>
      <c r="C6" s="10">
        <v>63.0</v>
      </c>
      <c r="D6" s="11">
        <f t="shared" ref="D6:D12" si="1">AVERAGE(B6:C6)</f>
        <v>53</v>
      </c>
      <c r="E6" s="10">
        <f t="shared" ref="E6:E12" si="2">ROUND(F6*H6,0)</f>
        <v>74</v>
      </c>
      <c r="F6" s="10">
        <f>ROUND(F7 * 0.9,0)</f>
        <v>92</v>
      </c>
      <c r="G6" s="10">
        <f t="shared" ref="G6:G12" si="3">AVERAGE(E6:F6)</f>
        <v>83</v>
      </c>
      <c r="H6" s="10">
        <v>0.8</v>
      </c>
    </row>
    <row r="7" ht="22.5" customHeight="1">
      <c r="A7" s="10">
        <v>0.0</v>
      </c>
      <c r="B7" s="10">
        <v>46.0</v>
      </c>
      <c r="C7" s="10">
        <v>68.0</v>
      </c>
      <c r="D7" s="11">
        <f t="shared" si="1"/>
        <v>57</v>
      </c>
      <c r="E7" s="10">
        <f t="shared" si="2"/>
        <v>82</v>
      </c>
      <c r="F7" s="10">
        <v>102.0</v>
      </c>
      <c r="G7" s="10">
        <f t="shared" si="3"/>
        <v>92</v>
      </c>
      <c r="H7" s="10">
        <v>0.8</v>
      </c>
    </row>
    <row r="8" ht="22.5" customHeight="1">
      <c r="A8" s="10">
        <v>1.0</v>
      </c>
      <c r="B8" s="10">
        <v>51.0</v>
      </c>
      <c r="C8" s="10">
        <v>75.0</v>
      </c>
      <c r="D8" s="11">
        <f t="shared" si="1"/>
        <v>63</v>
      </c>
      <c r="E8" s="10">
        <f t="shared" si="2"/>
        <v>90</v>
      </c>
      <c r="F8" s="10">
        <f t="shared" ref="F8:F12" si="4">ROUND(F7*1.1,0)</f>
        <v>112</v>
      </c>
      <c r="G8" s="10">
        <f t="shared" si="3"/>
        <v>101</v>
      </c>
      <c r="H8" s="10">
        <v>0.8</v>
      </c>
    </row>
    <row r="9" ht="22.5" customHeight="1">
      <c r="A9" s="10">
        <v>2.0</v>
      </c>
      <c r="B9" s="10">
        <v>57.0</v>
      </c>
      <c r="C9" s="10">
        <v>83.0</v>
      </c>
      <c r="D9" s="11">
        <f t="shared" si="1"/>
        <v>70</v>
      </c>
      <c r="E9" s="10">
        <f t="shared" si="2"/>
        <v>98</v>
      </c>
      <c r="F9" s="10">
        <f t="shared" si="4"/>
        <v>123</v>
      </c>
      <c r="G9" s="10">
        <f t="shared" si="3"/>
        <v>110.5</v>
      </c>
      <c r="H9" s="10">
        <v>0.8</v>
      </c>
    </row>
    <row r="10" ht="22.5" customHeight="1">
      <c r="A10" s="10">
        <v>3.0</v>
      </c>
      <c r="B10" s="10">
        <v>63.0</v>
      </c>
      <c r="C10" s="10">
        <v>92.0</v>
      </c>
      <c r="D10" s="11">
        <f t="shared" si="1"/>
        <v>77.5</v>
      </c>
      <c r="E10" s="10">
        <f t="shared" si="2"/>
        <v>108</v>
      </c>
      <c r="F10" s="10">
        <f t="shared" si="4"/>
        <v>135</v>
      </c>
      <c r="G10" s="10">
        <f t="shared" si="3"/>
        <v>121.5</v>
      </c>
      <c r="H10" s="10">
        <v>0.8</v>
      </c>
    </row>
    <row r="11" ht="22.5" customHeight="1">
      <c r="A11" s="10">
        <v>4.0</v>
      </c>
      <c r="B11" s="10">
        <v>70.0</v>
      </c>
      <c r="C11" s="10">
        <v>102.0</v>
      </c>
      <c r="D11" s="11">
        <f t="shared" si="1"/>
        <v>86</v>
      </c>
      <c r="E11" s="10">
        <f t="shared" si="2"/>
        <v>119</v>
      </c>
      <c r="F11" s="10">
        <f t="shared" si="4"/>
        <v>149</v>
      </c>
      <c r="G11" s="10">
        <f t="shared" si="3"/>
        <v>134</v>
      </c>
      <c r="H11" s="10">
        <v>0.8</v>
      </c>
    </row>
    <row r="12" ht="22.5" customHeight="1">
      <c r="A12" s="10">
        <v>5.0</v>
      </c>
      <c r="B12" s="10">
        <v>78.0</v>
      </c>
      <c r="C12" s="10">
        <v>113.0</v>
      </c>
      <c r="D12" s="11">
        <f t="shared" si="1"/>
        <v>95.5</v>
      </c>
      <c r="E12" s="10">
        <f t="shared" si="2"/>
        <v>131</v>
      </c>
      <c r="F12" s="10">
        <f t="shared" si="4"/>
        <v>164</v>
      </c>
      <c r="G12" s="10">
        <f t="shared" si="3"/>
        <v>147.5</v>
      </c>
      <c r="H12" s="10">
        <v>0.8</v>
      </c>
    </row>
    <row r="14" ht="11.25" customHeight="1">
      <c r="I14" s="1"/>
    </row>
    <row r="15">
      <c r="A15" s="6" t="s">
        <v>68</v>
      </c>
      <c r="B15" s="7"/>
      <c r="C15" s="8"/>
      <c r="J15" s="1"/>
      <c r="K15" s="1"/>
      <c r="L15" s="1"/>
    </row>
    <row r="16" ht="39.0" customHeight="1">
      <c r="A16" s="5" t="s">
        <v>69</v>
      </c>
      <c r="B16" s="5" t="s">
        <v>70</v>
      </c>
      <c r="C16" s="5" t="s">
        <v>71</v>
      </c>
      <c r="D16" s="1" t="s">
        <v>114</v>
      </c>
      <c r="J16" s="1"/>
      <c r="K16" s="1"/>
      <c r="L16" s="1"/>
    </row>
    <row r="17" ht="138.0" customHeight="1">
      <c r="A17" s="17" t="s">
        <v>162</v>
      </c>
      <c r="B17" s="17" t="s">
        <v>163</v>
      </c>
      <c r="C17" s="17" t="s">
        <v>164</v>
      </c>
      <c r="D17" s="23" t="s">
        <v>165</v>
      </c>
      <c r="J17" s="23"/>
      <c r="K17" s="23"/>
      <c r="L17" s="23"/>
    </row>
    <row r="18">
      <c r="H18" s="1" t="s">
        <v>166</v>
      </c>
    </row>
    <row r="19">
      <c r="O19" s="18"/>
      <c r="P19" s="18"/>
    </row>
    <row r="20">
      <c r="A20" s="1" t="s">
        <v>84</v>
      </c>
      <c r="N20" s="39"/>
    </row>
    <row r="21">
      <c r="A21" s="1" t="s">
        <v>76</v>
      </c>
      <c r="B21" s="1" t="s">
        <v>77</v>
      </c>
      <c r="C21" s="1" t="s">
        <v>78</v>
      </c>
      <c r="D21" s="1" t="s">
        <v>79</v>
      </c>
      <c r="M21" s="39"/>
    </row>
    <row r="22">
      <c r="A22" s="34" t="s">
        <v>121</v>
      </c>
      <c r="B22" s="34" t="s">
        <v>15</v>
      </c>
      <c r="C22" s="34" t="s">
        <v>102</v>
      </c>
      <c r="D22" s="23" t="s">
        <v>101</v>
      </c>
      <c r="M22" s="39"/>
    </row>
    <row r="23">
      <c r="N23" s="39"/>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68</v>
      </c>
      <c r="B17" s="7"/>
      <c r="C17" s="8"/>
    </row>
    <row r="18">
      <c r="A18" s="5" t="s">
        <v>69</v>
      </c>
      <c r="B18" s="5" t="s">
        <v>70</v>
      </c>
      <c r="C18" s="5" t="s">
        <v>71</v>
      </c>
    </row>
    <row r="19">
      <c r="A19" s="17" t="s">
        <v>167</v>
      </c>
      <c r="B19" s="17" t="s">
        <v>168</v>
      </c>
      <c r="C19" s="17" t="s">
        <v>169</v>
      </c>
    </row>
    <row r="20">
      <c r="A20" s="1" t="s">
        <v>84</v>
      </c>
    </row>
    <row r="21">
      <c r="A21" s="1" t="s">
        <v>170</v>
      </c>
      <c r="B21" s="1" t="s">
        <v>171</v>
      </c>
      <c r="C21" s="1" t="s">
        <v>172</v>
      </c>
      <c r="D21" s="1" t="s">
        <v>173</v>
      </c>
    </row>
    <row r="22">
      <c r="A22" s="34" t="s">
        <v>133</v>
      </c>
      <c r="B22" s="34" t="s">
        <v>106</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68</v>
      </c>
      <c r="B16" s="7"/>
      <c r="C16" s="8"/>
    </row>
    <row r="17">
      <c r="A17" s="5" t="s">
        <v>69</v>
      </c>
      <c r="B17" s="5" t="s">
        <v>70</v>
      </c>
      <c r="C17" s="5" t="s">
        <v>71</v>
      </c>
      <c r="I17" s="1"/>
    </row>
    <row r="18">
      <c r="A18" s="17" t="s">
        <v>174</v>
      </c>
      <c r="B18" s="17" t="s">
        <v>175</v>
      </c>
      <c r="C18" s="17" t="s">
        <v>176</v>
      </c>
      <c r="I18" s="1"/>
    </row>
    <row r="19">
      <c r="K19" s="13"/>
    </row>
    <row r="20">
      <c r="A20" s="1" t="s">
        <v>177</v>
      </c>
      <c r="K20" s="13"/>
    </row>
    <row r="21">
      <c r="A21" s="1" t="s">
        <v>170</v>
      </c>
      <c r="B21" s="1" t="s">
        <v>171</v>
      </c>
      <c r="C21" s="1" t="s">
        <v>172</v>
      </c>
      <c r="D21" s="1" t="s">
        <v>173</v>
      </c>
      <c r="J21" s="1" t="s">
        <v>178</v>
      </c>
    </row>
    <row r="22">
      <c r="A22" s="34" t="s">
        <v>112</v>
      </c>
      <c r="B22" s="34" t="s">
        <v>102</v>
      </c>
      <c r="C22" s="34" t="s">
        <v>103</v>
      </c>
      <c r="D22" s="23" t="s">
        <v>34</v>
      </c>
    </row>
    <row r="24">
      <c r="K24" s="19"/>
      <c r="L24" s="19"/>
      <c r="M24" s="19"/>
    </row>
    <row r="25">
      <c r="K25" s="13"/>
      <c r="L25" s="19"/>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68</v>
      </c>
      <c r="B14" s="7"/>
      <c r="C14" s="7"/>
      <c r="D14" s="7"/>
    </row>
    <row r="15">
      <c r="A15" s="5" t="s">
        <v>69</v>
      </c>
      <c r="B15" s="5" t="s">
        <v>70</v>
      </c>
      <c r="C15" s="6" t="s">
        <v>71</v>
      </c>
      <c r="D15" s="5" t="s">
        <v>94</v>
      </c>
    </row>
    <row r="16" ht="59.25" customHeight="1">
      <c r="A16" s="17" t="s">
        <v>85</v>
      </c>
      <c r="B16" s="17" t="s">
        <v>179</v>
      </c>
      <c r="C16" s="25" t="s">
        <v>180</v>
      </c>
      <c r="D16" s="17" t="s">
        <v>181</v>
      </c>
    </row>
    <row r="20">
      <c r="A20" s="1" t="s">
        <v>177</v>
      </c>
    </row>
    <row r="21">
      <c r="A21" s="1" t="s">
        <v>170</v>
      </c>
      <c r="B21" s="1" t="s">
        <v>171</v>
      </c>
      <c r="C21" s="1" t="s">
        <v>172</v>
      </c>
      <c r="D21" s="1" t="s">
        <v>173</v>
      </c>
    </row>
    <row r="22">
      <c r="A22" s="23" t="s">
        <v>182</v>
      </c>
      <c r="B22" s="23" t="s">
        <v>7</v>
      </c>
      <c r="C22" s="23" t="s">
        <v>106</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68</v>
      </c>
      <c r="B14" s="7"/>
      <c r="C14" s="7"/>
    </row>
    <row r="15" ht="29.25" customHeight="1">
      <c r="A15" s="5" t="s">
        <v>69</v>
      </c>
      <c r="B15" s="5" t="s">
        <v>70</v>
      </c>
      <c r="C15" s="6" t="s">
        <v>71</v>
      </c>
      <c r="D15" s="38" t="s">
        <v>183</v>
      </c>
    </row>
    <row r="16">
      <c r="A16" s="17" t="s">
        <v>184</v>
      </c>
      <c r="B16" s="17" t="s">
        <v>85</v>
      </c>
      <c r="C16" s="25" t="s">
        <v>85</v>
      </c>
      <c r="D16" s="38" t="s">
        <v>185</v>
      </c>
    </row>
    <row r="17">
      <c r="A17" s="1"/>
    </row>
    <row r="20">
      <c r="A20" s="1" t="s">
        <v>177</v>
      </c>
    </row>
    <row r="21">
      <c r="A21" s="1" t="s">
        <v>170</v>
      </c>
      <c r="B21" s="1" t="s">
        <v>171</v>
      </c>
      <c r="C21" s="1" t="s">
        <v>172</v>
      </c>
      <c r="D21" s="1" t="s">
        <v>173</v>
      </c>
    </row>
    <row r="22">
      <c r="A22" s="23" t="s">
        <v>101</v>
      </c>
      <c r="B22" s="23" t="s">
        <v>128</v>
      </c>
      <c r="C22" s="23" t="s">
        <v>142</v>
      </c>
      <c r="D22" s="23" t="s">
        <v>186</v>
      </c>
      <c r="K22" s="28"/>
      <c r="L22" s="37"/>
      <c r="M22" s="37"/>
      <c r="N22" s="37"/>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59</v>
      </c>
      <c r="C2" s="20"/>
      <c r="D2" s="20"/>
      <c r="E2" s="20"/>
      <c r="F2" s="20"/>
      <c r="G2" s="20"/>
      <c r="H2" s="20"/>
    </row>
    <row r="3" ht="14.25" customHeight="1">
      <c r="A3" s="40"/>
      <c r="B3" s="41" t="s">
        <v>60</v>
      </c>
      <c r="C3" s="7"/>
      <c r="D3" s="7"/>
      <c r="E3" s="7"/>
      <c r="F3" s="7"/>
      <c r="G3" s="8"/>
      <c r="H3" s="42"/>
    </row>
    <row r="4" ht="14.25" customHeight="1">
      <c r="A4" s="43"/>
      <c r="B4" s="43"/>
      <c r="C4" s="43"/>
      <c r="D4" s="43"/>
      <c r="E4" s="43"/>
      <c r="F4" s="43"/>
      <c r="G4" s="44"/>
      <c r="H4" s="44"/>
    </row>
    <row r="5" ht="14.25" customHeight="1">
      <c r="A5" s="45" t="s">
        <v>1</v>
      </c>
      <c r="B5" s="45" t="s">
        <v>61</v>
      </c>
      <c r="C5" s="45" t="s">
        <v>62</v>
      </c>
      <c r="D5" s="45" t="s">
        <v>63</v>
      </c>
      <c r="E5" s="45" t="s">
        <v>64</v>
      </c>
      <c r="F5" s="45" t="s">
        <v>65</v>
      </c>
      <c r="G5" s="46" t="s">
        <v>66</v>
      </c>
      <c r="H5" s="46" t="s">
        <v>67</v>
      </c>
    </row>
    <row r="6" ht="14.25" customHeight="1">
      <c r="A6" s="47">
        <v>-1.0</v>
      </c>
      <c r="B6" s="48">
        <v>85.0</v>
      </c>
      <c r="C6" s="48">
        <v>109.0</v>
      </c>
      <c r="D6" s="49">
        <f t="shared" ref="D6:D12" si="1">AVERAGE(B6:C6)</f>
        <v>97</v>
      </c>
      <c r="E6" s="49">
        <f t="shared" ref="E6:E12" si="2">ROUND(F6*H6,0)</f>
        <v>89</v>
      </c>
      <c r="F6" s="49">
        <f>ROUND(F7 * 0.9,0)</f>
        <v>137</v>
      </c>
      <c r="G6" s="49">
        <f t="shared" ref="G6:G12" si="3">AVERAGE(E6:F6)</f>
        <v>113</v>
      </c>
      <c r="H6" s="48">
        <v>0.65</v>
      </c>
    </row>
    <row r="7" ht="14.25" customHeight="1">
      <c r="A7" s="49">
        <v>0.0</v>
      </c>
      <c r="B7" s="48">
        <v>90.0</v>
      </c>
      <c r="C7" s="48">
        <v>116.0</v>
      </c>
      <c r="D7" s="49">
        <f t="shared" si="1"/>
        <v>103</v>
      </c>
      <c r="E7" s="49">
        <f t="shared" si="2"/>
        <v>99</v>
      </c>
      <c r="F7" s="48">
        <v>152.0</v>
      </c>
      <c r="G7" s="49">
        <f t="shared" si="3"/>
        <v>125.5</v>
      </c>
      <c r="H7" s="48">
        <v>0.65</v>
      </c>
    </row>
    <row r="8" ht="14.25" customHeight="1">
      <c r="A8" s="49">
        <v>1.0</v>
      </c>
      <c r="B8" s="50">
        <v>99.0</v>
      </c>
      <c r="C8" s="50">
        <v>128.0</v>
      </c>
      <c r="D8" s="49">
        <f t="shared" si="1"/>
        <v>113.5</v>
      </c>
      <c r="E8" s="49">
        <f t="shared" si="2"/>
        <v>109</v>
      </c>
      <c r="F8" s="49">
        <f t="shared" ref="F8:F12" si="4">ROUND(F7*1.1,0)</f>
        <v>167</v>
      </c>
      <c r="G8" s="49">
        <f t="shared" si="3"/>
        <v>138</v>
      </c>
      <c r="H8" s="48">
        <v>0.65</v>
      </c>
      <c r="K8" s="1"/>
    </row>
    <row r="9" ht="14.25" customHeight="1">
      <c r="A9" s="49">
        <v>2.0</v>
      </c>
      <c r="B9" s="50">
        <v>109.0</v>
      </c>
      <c r="C9" s="50">
        <v>141.0</v>
      </c>
      <c r="D9" s="49">
        <f t="shared" si="1"/>
        <v>125</v>
      </c>
      <c r="E9" s="49">
        <f t="shared" si="2"/>
        <v>120</v>
      </c>
      <c r="F9" s="49">
        <f t="shared" si="4"/>
        <v>184</v>
      </c>
      <c r="G9" s="49">
        <f t="shared" si="3"/>
        <v>152</v>
      </c>
      <c r="H9" s="48">
        <v>0.65</v>
      </c>
    </row>
    <row r="10" ht="14.25" customHeight="1">
      <c r="A10" s="49">
        <v>3.0</v>
      </c>
      <c r="B10" s="50">
        <v>120.0</v>
      </c>
      <c r="C10" s="50">
        <v>155.0</v>
      </c>
      <c r="D10" s="49">
        <f t="shared" si="1"/>
        <v>137.5</v>
      </c>
      <c r="E10" s="49">
        <f t="shared" si="2"/>
        <v>131</v>
      </c>
      <c r="F10" s="49">
        <f t="shared" si="4"/>
        <v>202</v>
      </c>
      <c r="G10" s="49">
        <f t="shared" si="3"/>
        <v>166.5</v>
      </c>
      <c r="H10" s="48">
        <v>0.65</v>
      </c>
    </row>
    <row r="11" ht="14.25" customHeight="1">
      <c r="A11" s="49">
        <v>4.0</v>
      </c>
      <c r="B11" s="50">
        <v>132.0</v>
      </c>
      <c r="C11" s="50">
        <v>171.0</v>
      </c>
      <c r="D11" s="49">
        <f t="shared" si="1"/>
        <v>151.5</v>
      </c>
      <c r="E11" s="49">
        <f t="shared" si="2"/>
        <v>144</v>
      </c>
      <c r="F11" s="49">
        <f t="shared" si="4"/>
        <v>222</v>
      </c>
      <c r="G11" s="49">
        <f t="shared" si="3"/>
        <v>183</v>
      </c>
      <c r="H11" s="48">
        <v>0.65</v>
      </c>
    </row>
    <row r="12" ht="14.25" customHeight="1">
      <c r="A12" s="49">
        <v>5.0</v>
      </c>
      <c r="B12" s="50">
        <v>145.0</v>
      </c>
      <c r="C12" s="50">
        <v>188.0</v>
      </c>
      <c r="D12" s="49">
        <f t="shared" si="1"/>
        <v>166.5</v>
      </c>
      <c r="E12" s="49">
        <f t="shared" si="2"/>
        <v>159</v>
      </c>
      <c r="F12" s="49">
        <f t="shared" si="4"/>
        <v>244</v>
      </c>
      <c r="G12" s="49">
        <f t="shared" si="3"/>
        <v>201.5</v>
      </c>
      <c r="H12" s="48">
        <v>0.65</v>
      </c>
    </row>
    <row r="13">
      <c r="A13" s="1"/>
    </row>
    <row r="14">
      <c r="A14" s="6" t="s">
        <v>68</v>
      </c>
      <c r="B14" s="7"/>
      <c r="C14" s="7"/>
    </row>
    <row r="15">
      <c r="A15" s="5" t="s">
        <v>69</v>
      </c>
      <c r="B15" s="5" t="s">
        <v>70</v>
      </c>
      <c r="C15" s="6" t="s">
        <v>71</v>
      </c>
      <c r="D15" s="6" t="s">
        <v>94</v>
      </c>
    </row>
    <row r="16">
      <c r="A16" s="17" t="s">
        <v>187</v>
      </c>
      <c r="B16" s="17" t="s">
        <v>85</v>
      </c>
      <c r="C16" s="17" t="s">
        <v>187</v>
      </c>
      <c r="D16" s="17" t="s">
        <v>188</v>
      </c>
    </row>
    <row r="20">
      <c r="A20" s="1" t="s">
        <v>84</v>
      </c>
    </row>
    <row r="21">
      <c r="A21" s="1" t="s">
        <v>170</v>
      </c>
      <c r="B21" s="1" t="s">
        <v>171</v>
      </c>
      <c r="C21" s="1" t="s">
        <v>172</v>
      </c>
      <c r="D21" s="1" t="s">
        <v>173</v>
      </c>
    </row>
    <row r="22">
      <c r="A22" s="23" t="s">
        <v>182</v>
      </c>
      <c r="B22" s="23" t="s">
        <v>101</v>
      </c>
      <c r="C22" s="23" t="s">
        <v>102</v>
      </c>
      <c r="D22" s="23" t="s">
        <v>189</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59</v>
      </c>
      <c r="C2" s="20"/>
      <c r="D2" s="20"/>
      <c r="E2" s="20"/>
      <c r="F2" s="20"/>
      <c r="G2" s="20"/>
      <c r="H2" s="20"/>
    </row>
    <row r="3" ht="15.75" customHeight="1">
      <c r="A3" s="40"/>
      <c r="B3" s="41" t="s">
        <v>60</v>
      </c>
      <c r="C3" s="7"/>
      <c r="D3" s="7"/>
      <c r="E3" s="7"/>
      <c r="F3" s="7"/>
      <c r="G3" s="8"/>
      <c r="H3" s="42"/>
    </row>
    <row r="4" ht="15.75" customHeight="1">
      <c r="A4" s="43"/>
      <c r="B4" s="43"/>
      <c r="C4" s="43"/>
      <c r="D4" s="43"/>
      <c r="E4" s="43"/>
      <c r="F4" s="43"/>
      <c r="G4" s="44"/>
      <c r="H4" s="44"/>
    </row>
    <row r="5" ht="15.75" customHeight="1">
      <c r="A5" s="45" t="s">
        <v>1</v>
      </c>
      <c r="B5" s="45" t="s">
        <v>61</v>
      </c>
      <c r="C5" s="45" t="s">
        <v>62</v>
      </c>
      <c r="D5" s="45" t="s">
        <v>63</v>
      </c>
      <c r="E5" s="45" t="s">
        <v>64</v>
      </c>
      <c r="F5" s="45" t="s">
        <v>65</v>
      </c>
      <c r="G5" s="46" t="s">
        <v>66</v>
      </c>
      <c r="H5" s="46" t="s">
        <v>67</v>
      </c>
    </row>
    <row r="6" ht="15.75" customHeight="1">
      <c r="A6" s="47">
        <v>-1.0</v>
      </c>
      <c r="B6" s="48">
        <v>61.0</v>
      </c>
      <c r="C6" s="48">
        <v>77.0</v>
      </c>
      <c r="D6" s="49">
        <f t="shared" ref="D6:D12" si="1">AVERAGE(B6:C6)</f>
        <v>69</v>
      </c>
      <c r="E6" s="49">
        <f t="shared" ref="E6:E12" si="2">ROUND(F6*H6,0)</f>
        <v>64</v>
      </c>
      <c r="F6" s="49">
        <f>ROUND(F7 * 0.9,0)</f>
        <v>80</v>
      </c>
      <c r="G6" s="49">
        <f t="shared" ref="G6:G12" si="3">AVERAGE(E6:F6)</f>
        <v>72</v>
      </c>
      <c r="H6" s="48">
        <v>0.8</v>
      </c>
    </row>
    <row r="7" ht="15.75" customHeight="1">
      <c r="A7" s="49">
        <v>0.0</v>
      </c>
      <c r="B7" s="48">
        <v>65.0</v>
      </c>
      <c r="C7" s="48">
        <v>83.0</v>
      </c>
      <c r="D7" s="49">
        <f t="shared" si="1"/>
        <v>74</v>
      </c>
      <c r="E7" s="49">
        <f t="shared" si="2"/>
        <v>71</v>
      </c>
      <c r="F7" s="48">
        <v>89.0</v>
      </c>
      <c r="G7" s="49">
        <f t="shared" si="3"/>
        <v>80</v>
      </c>
      <c r="H7" s="48">
        <v>0.8</v>
      </c>
    </row>
    <row r="8" ht="15.75" customHeight="1">
      <c r="A8" s="49">
        <v>1.0</v>
      </c>
      <c r="B8" s="50">
        <v>72.0</v>
      </c>
      <c r="C8" s="50">
        <v>91.0</v>
      </c>
      <c r="D8" s="49">
        <f t="shared" si="1"/>
        <v>81.5</v>
      </c>
      <c r="E8" s="49">
        <f t="shared" si="2"/>
        <v>78</v>
      </c>
      <c r="F8" s="49">
        <f t="shared" ref="F8:F12" si="4">ROUND(F7*1.1,0)</f>
        <v>98</v>
      </c>
      <c r="G8" s="49">
        <f t="shared" si="3"/>
        <v>88</v>
      </c>
      <c r="H8" s="48">
        <v>0.8</v>
      </c>
      <c r="K8" s="1"/>
    </row>
    <row r="9" ht="15.75" customHeight="1">
      <c r="A9" s="49">
        <v>2.0</v>
      </c>
      <c r="B9" s="50">
        <v>79.0</v>
      </c>
      <c r="C9" s="50">
        <v>100.0</v>
      </c>
      <c r="D9" s="49">
        <f t="shared" si="1"/>
        <v>89.5</v>
      </c>
      <c r="E9" s="49">
        <f t="shared" si="2"/>
        <v>86</v>
      </c>
      <c r="F9" s="49">
        <f t="shared" si="4"/>
        <v>108</v>
      </c>
      <c r="G9" s="49">
        <f t="shared" si="3"/>
        <v>97</v>
      </c>
      <c r="H9" s="48">
        <v>0.8</v>
      </c>
    </row>
    <row r="10" ht="15.75" customHeight="1">
      <c r="A10" s="49">
        <v>3.0</v>
      </c>
      <c r="B10" s="50">
        <v>87.0</v>
      </c>
      <c r="C10" s="50">
        <v>110.0</v>
      </c>
      <c r="D10" s="49">
        <f t="shared" si="1"/>
        <v>98.5</v>
      </c>
      <c r="E10" s="49">
        <f t="shared" si="2"/>
        <v>95</v>
      </c>
      <c r="F10" s="49">
        <f t="shared" si="4"/>
        <v>119</v>
      </c>
      <c r="G10" s="49">
        <f t="shared" si="3"/>
        <v>107</v>
      </c>
      <c r="H10" s="48">
        <v>0.8</v>
      </c>
    </row>
    <row r="11" ht="15.75" customHeight="1">
      <c r="A11" s="49">
        <v>4.0</v>
      </c>
      <c r="B11" s="50">
        <v>96.0</v>
      </c>
      <c r="C11" s="50">
        <v>121.0</v>
      </c>
      <c r="D11" s="49">
        <f t="shared" si="1"/>
        <v>108.5</v>
      </c>
      <c r="E11" s="49">
        <f t="shared" si="2"/>
        <v>105</v>
      </c>
      <c r="F11" s="49">
        <f t="shared" si="4"/>
        <v>131</v>
      </c>
      <c r="G11" s="49">
        <f t="shared" si="3"/>
        <v>118</v>
      </c>
      <c r="H11" s="48">
        <v>0.8</v>
      </c>
    </row>
    <row r="12" ht="15.75" customHeight="1">
      <c r="A12" s="51">
        <v>5.0</v>
      </c>
      <c r="B12" s="52">
        <v>106.0</v>
      </c>
      <c r="C12" s="52">
        <v>133.0</v>
      </c>
      <c r="D12" s="49">
        <f t="shared" si="1"/>
        <v>119.5</v>
      </c>
      <c r="E12" s="49">
        <f t="shared" si="2"/>
        <v>115</v>
      </c>
      <c r="F12" s="49">
        <f t="shared" si="4"/>
        <v>144</v>
      </c>
      <c r="G12" s="49">
        <f t="shared" si="3"/>
        <v>129.5</v>
      </c>
      <c r="H12" s="48">
        <v>0.8</v>
      </c>
    </row>
    <row r="13">
      <c r="A13" s="53"/>
      <c r="B13" s="54"/>
      <c r="C13" s="54"/>
      <c r="D13" s="20"/>
      <c r="E13" s="55"/>
      <c r="F13" s="55"/>
      <c r="G13" s="55"/>
      <c r="H13" s="56"/>
    </row>
    <row r="14">
      <c r="A14" s="57" t="s">
        <v>68</v>
      </c>
      <c r="B14" s="58"/>
      <c r="C14" s="58"/>
    </row>
    <row r="15">
      <c r="A15" s="5" t="s">
        <v>69</v>
      </c>
      <c r="B15" s="5" t="s">
        <v>190</v>
      </c>
      <c r="C15" s="6" t="s">
        <v>191</v>
      </c>
      <c r="D15" s="6" t="s">
        <v>94</v>
      </c>
    </row>
    <row r="16">
      <c r="A16" s="17" t="s">
        <v>82</v>
      </c>
      <c r="B16" s="17" t="s">
        <v>85</v>
      </c>
      <c r="C16" s="17" t="s">
        <v>192</v>
      </c>
      <c r="D16" s="17" t="s">
        <v>193</v>
      </c>
    </row>
    <row r="20">
      <c r="A20" s="1" t="s">
        <v>84</v>
      </c>
    </row>
    <row r="21">
      <c r="A21" s="1" t="s">
        <v>170</v>
      </c>
      <c r="B21" s="1" t="s">
        <v>171</v>
      </c>
      <c r="C21" s="1" t="s">
        <v>172</v>
      </c>
      <c r="D21" s="1" t="s">
        <v>173</v>
      </c>
    </row>
    <row r="22">
      <c r="A22" s="23" t="s">
        <v>194</v>
      </c>
      <c r="B22" s="23" t="s">
        <v>5</v>
      </c>
      <c r="C22" s="23" t="s">
        <v>17</v>
      </c>
      <c r="D22" s="23" t="s">
        <v>195</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59</v>
      </c>
    </row>
    <row r="3">
      <c r="A3" s="5"/>
      <c r="B3" s="6" t="s">
        <v>60</v>
      </c>
      <c r="C3" s="7"/>
      <c r="D3" s="7"/>
      <c r="E3" s="7"/>
      <c r="F3" s="7"/>
      <c r="G3" s="8"/>
      <c r="H3" s="9"/>
    </row>
    <row r="4">
      <c r="A4" s="1"/>
      <c r="B4" s="1"/>
      <c r="C4" s="1"/>
      <c r="D4" s="1"/>
      <c r="E4" s="1"/>
      <c r="F4" s="1"/>
      <c r="G4" s="1"/>
      <c r="H4" s="1"/>
    </row>
    <row r="5" ht="22.5" customHeight="1">
      <c r="A5" s="2" t="s">
        <v>1</v>
      </c>
      <c r="B5" s="2" t="s">
        <v>61</v>
      </c>
      <c r="C5" s="2" t="s">
        <v>62</v>
      </c>
      <c r="D5" s="2" t="s">
        <v>63</v>
      </c>
      <c r="E5" s="2" t="s">
        <v>64</v>
      </c>
      <c r="F5" s="2" t="s">
        <v>65</v>
      </c>
      <c r="G5" s="2" t="s">
        <v>66</v>
      </c>
      <c r="H5" s="2" t="s">
        <v>67</v>
      </c>
    </row>
    <row r="6" ht="22.5" customHeight="1">
      <c r="A6" s="10">
        <v>-1.0</v>
      </c>
      <c r="B6" s="10">
        <v>84.0</v>
      </c>
      <c r="C6" s="10">
        <v>101.0</v>
      </c>
      <c r="D6" s="11">
        <f t="shared" ref="D6:D12" si="1">AVERAGE(B6:C6)</f>
        <v>92.5</v>
      </c>
      <c r="E6" s="10">
        <f t="shared" ref="E6:E12" si="2">ROUND(F6*H6,0)</f>
        <v>79</v>
      </c>
      <c r="F6" s="10">
        <f>ROUND(F7 * 0.9,0)</f>
        <v>99</v>
      </c>
      <c r="G6" s="10">
        <f t="shared" ref="G6:G12" si="3">AVERAGE(E6:F6)</f>
        <v>89</v>
      </c>
      <c r="H6" s="10">
        <v>0.8</v>
      </c>
    </row>
    <row r="7" ht="22.5" customHeight="1">
      <c r="A7" s="10">
        <v>0.0</v>
      </c>
      <c r="B7" s="10">
        <v>91.0</v>
      </c>
      <c r="C7" s="10">
        <v>108.0</v>
      </c>
      <c r="D7" s="11">
        <f t="shared" si="1"/>
        <v>99.5</v>
      </c>
      <c r="E7" s="10">
        <f t="shared" si="2"/>
        <v>88</v>
      </c>
      <c r="F7" s="10">
        <v>110.0</v>
      </c>
      <c r="G7" s="10">
        <f t="shared" si="3"/>
        <v>99</v>
      </c>
      <c r="H7" s="10">
        <v>0.8</v>
      </c>
    </row>
    <row r="8" ht="15.75" customHeight="1">
      <c r="A8" s="10">
        <v>1.0</v>
      </c>
      <c r="B8" s="10">
        <v>101.0</v>
      </c>
      <c r="C8" s="10">
        <v>120.0</v>
      </c>
      <c r="D8" s="11">
        <f t="shared" si="1"/>
        <v>110.5</v>
      </c>
      <c r="E8" s="10">
        <f t="shared" si="2"/>
        <v>97</v>
      </c>
      <c r="F8" s="10">
        <f t="shared" ref="F8:F12" si="4">FLOOR(F7*1.1,1)</f>
        <v>121</v>
      </c>
      <c r="G8" s="10">
        <f t="shared" si="3"/>
        <v>109</v>
      </c>
      <c r="H8" s="10">
        <v>0.8</v>
      </c>
      <c r="K8" s="1"/>
    </row>
    <row r="9" ht="22.5" customHeight="1">
      <c r="A9" s="10">
        <v>2.0</v>
      </c>
      <c r="B9" s="10">
        <v>122.0</v>
      </c>
      <c r="C9" s="10">
        <v>133.0</v>
      </c>
      <c r="D9" s="11">
        <f t="shared" si="1"/>
        <v>127.5</v>
      </c>
      <c r="E9" s="10">
        <f t="shared" si="2"/>
        <v>106</v>
      </c>
      <c r="F9" s="10">
        <f t="shared" si="4"/>
        <v>133</v>
      </c>
      <c r="G9" s="10">
        <f t="shared" si="3"/>
        <v>119.5</v>
      </c>
      <c r="H9" s="10">
        <v>0.8</v>
      </c>
    </row>
    <row r="10" ht="16.5" customHeight="1">
      <c r="A10" s="10">
        <v>3.0</v>
      </c>
      <c r="B10" s="10">
        <v>124.0</v>
      </c>
      <c r="C10" s="10">
        <v>148.0</v>
      </c>
      <c r="D10" s="11">
        <f t="shared" si="1"/>
        <v>136</v>
      </c>
      <c r="E10" s="10">
        <f t="shared" si="2"/>
        <v>117</v>
      </c>
      <c r="F10" s="10">
        <f t="shared" si="4"/>
        <v>146</v>
      </c>
      <c r="G10" s="10">
        <f t="shared" si="3"/>
        <v>131.5</v>
      </c>
      <c r="H10" s="10">
        <v>0.8</v>
      </c>
    </row>
    <row r="11" ht="16.5" customHeight="1">
      <c r="A11" s="10">
        <v>4.0</v>
      </c>
      <c r="B11" s="10">
        <v>138.0</v>
      </c>
      <c r="C11" s="10">
        <v>164.0</v>
      </c>
      <c r="D11" s="11">
        <f t="shared" si="1"/>
        <v>151</v>
      </c>
      <c r="E11" s="10">
        <f t="shared" si="2"/>
        <v>128</v>
      </c>
      <c r="F11" s="10">
        <f t="shared" si="4"/>
        <v>160</v>
      </c>
      <c r="G11" s="10">
        <f t="shared" si="3"/>
        <v>144</v>
      </c>
      <c r="H11" s="10">
        <v>0.8</v>
      </c>
    </row>
    <row r="12" ht="22.5" customHeight="1">
      <c r="A12" s="10">
        <v>5.0</v>
      </c>
      <c r="B12" s="10">
        <v>153.0</v>
      </c>
      <c r="C12" s="10">
        <v>182.0</v>
      </c>
      <c r="D12" s="11">
        <f t="shared" si="1"/>
        <v>167.5</v>
      </c>
      <c r="E12" s="10">
        <f t="shared" si="2"/>
        <v>141</v>
      </c>
      <c r="F12" s="10">
        <f t="shared" si="4"/>
        <v>176</v>
      </c>
      <c r="G12" s="10">
        <f t="shared" si="3"/>
        <v>158.5</v>
      </c>
      <c r="H12" s="10">
        <v>0.8</v>
      </c>
    </row>
    <row r="13">
      <c r="A13" s="6"/>
      <c r="B13" s="6"/>
      <c r="C13" s="6"/>
    </row>
    <row r="14">
      <c r="A14" s="6" t="s">
        <v>68</v>
      </c>
      <c r="B14" s="7"/>
      <c r="C14" s="8"/>
    </row>
    <row r="15">
      <c r="A15" s="5" t="s">
        <v>69</v>
      </c>
      <c r="B15" s="5" t="s">
        <v>70</v>
      </c>
      <c r="C15" s="5" t="s">
        <v>71</v>
      </c>
    </row>
    <row r="16">
      <c r="A16" s="17" t="s">
        <v>196</v>
      </c>
      <c r="B16" s="17" t="s">
        <v>92</v>
      </c>
      <c r="C16" s="17" t="s">
        <v>197</v>
      </c>
    </row>
    <row r="20">
      <c r="A20" s="1" t="s">
        <v>84</v>
      </c>
    </row>
    <row r="21">
      <c r="A21" s="1" t="s">
        <v>170</v>
      </c>
      <c r="B21" s="1" t="s">
        <v>171</v>
      </c>
      <c r="C21" s="1" t="s">
        <v>172</v>
      </c>
      <c r="D21" s="1" t="s">
        <v>173</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59</v>
      </c>
      <c r="C2" s="20"/>
      <c r="D2" s="20"/>
      <c r="E2" s="20"/>
      <c r="F2" s="20"/>
      <c r="G2" s="20"/>
      <c r="H2" s="20"/>
    </row>
    <row r="3" ht="15.75" customHeight="1">
      <c r="A3" s="40"/>
      <c r="B3" s="41" t="s">
        <v>60</v>
      </c>
      <c r="C3" s="7"/>
      <c r="D3" s="7"/>
      <c r="E3" s="7"/>
      <c r="F3" s="7"/>
      <c r="G3" s="8"/>
      <c r="H3" s="42"/>
    </row>
    <row r="4" ht="15.75" customHeight="1">
      <c r="A4" s="43"/>
      <c r="B4" s="43"/>
      <c r="C4" s="43"/>
      <c r="D4" s="43"/>
      <c r="E4" s="43"/>
      <c r="F4" s="43"/>
      <c r="G4" s="44"/>
      <c r="H4" s="44"/>
    </row>
    <row r="5" ht="15.75" customHeight="1">
      <c r="A5" s="45" t="s">
        <v>1</v>
      </c>
      <c r="B5" s="45" t="s">
        <v>61</v>
      </c>
      <c r="C5" s="45" t="s">
        <v>62</v>
      </c>
      <c r="D5" s="45" t="s">
        <v>63</v>
      </c>
      <c r="E5" s="45" t="s">
        <v>64</v>
      </c>
      <c r="F5" s="45" t="s">
        <v>65</v>
      </c>
      <c r="G5" s="46" t="s">
        <v>66</v>
      </c>
      <c r="H5" s="46" t="s">
        <v>67</v>
      </c>
    </row>
    <row r="6" ht="15.75" customHeight="1">
      <c r="A6" s="47">
        <v>-1.0</v>
      </c>
      <c r="B6" s="48">
        <v>84.0</v>
      </c>
      <c r="C6" s="48">
        <v>117.0</v>
      </c>
      <c r="D6" s="49">
        <f t="shared" ref="D6:D12" si="1">AVERAGE(B6:C6)</f>
        <v>100.5</v>
      </c>
      <c r="E6" s="47">
        <f t="shared" ref="E6:E12" si="2">ROUND(F6*H6,0)</f>
        <v>68</v>
      </c>
      <c r="F6" s="49">
        <f>ROUND(F7 * 0.9,0)</f>
        <v>135</v>
      </c>
      <c r="G6" s="49">
        <f t="shared" ref="G6:G12" si="3">AVERAGE(E6:F6)</f>
        <v>101.5</v>
      </c>
      <c r="H6" s="48">
        <v>0.5</v>
      </c>
    </row>
    <row r="7" ht="15.75" customHeight="1">
      <c r="A7" s="49">
        <v>0.0</v>
      </c>
      <c r="B7" s="48">
        <v>89.0</v>
      </c>
      <c r="C7" s="48">
        <v>124.0</v>
      </c>
      <c r="D7" s="49">
        <f t="shared" si="1"/>
        <v>106.5</v>
      </c>
      <c r="E7" s="47">
        <f t="shared" si="2"/>
        <v>75</v>
      </c>
      <c r="F7" s="48">
        <v>150.0</v>
      </c>
      <c r="G7" s="49">
        <f t="shared" si="3"/>
        <v>112.5</v>
      </c>
      <c r="H7" s="48">
        <v>0.5</v>
      </c>
    </row>
    <row r="8" ht="15.75" customHeight="1">
      <c r="A8" s="49">
        <v>1.0</v>
      </c>
      <c r="B8" s="50">
        <v>93.0</v>
      </c>
      <c r="C8" s="50">
        <v>130.0</v>
      </c>
      <c r="D8" s="49">
        <f t="shared" si="1"/>
        <v>111.5</v>
      </c>
      <c r="E8" s="47">
        <f t="shared" si="2"/>
        <v>83</v>
      </c>
      <c r="F8" s="49">
        <f t="shared" ref="F8:F12" si="4">ROUND(F7*1.1,0)</f>
        <v>165</v>
      </c>
      <c r="G8" s="49">
        <f t="shared" si="3"/>
        <v>124</v>
      </c>
      <c r="H8" s="48">
        <v>0.5</v>
      </c>
      <c r="K8" s="1"/>
    </row>
    <row r="9" ht="15.75" customHeight="1">
      <c r="A9" s="49">
        <v>2.0</v>
      </c>
      <c r="B9" s="50">
        <v>103.0</v>
      </c>
      <c r="C9" s="50">
        <v>144.0</v>
      </c>
      <c r="D9" s="49">
        <f t="shared" si="1"/>
        <v>123.5</v>
      </c>
      <c r="E9" s="47">
        <f t="shared" si="2"/>
        <v>91</v>
      </c>
      <c r="F9" s="49">
        <f t="shared" si="4"/>
        <v>182</v>
      </c>
      <c r="G9" s="49">
        <f t="shared" si="3"/>
        <v>136.5</v>
      </c>
      <c r="H9" s="48">
        <v>0.5</v>
      </c>
    </row>
    <row r="10" ht="15.75" customHeight="1">
      <c r="A10" s="49">
        <v>3.0</v>
      </c>
      <c r="B10" s="50">
        <v>114.0</v>
      </c>
      <c r="C10" s="50">
        <v>160.0</v>
      </c>
      <c r="D10" s="49">
        <f t="shared" si="1"/>
        <v>137</v>
      </c>
      <c r="E10" s="47">
        <f t="shared" si="2"/>
        <v>100</v>
      </c>
      <c r="F10" s="49">
        <f t="shared" si="4"/>
        <v>200</v>
      </c>
      <c r="G10" s="49">
        <f t="shared" si="3"/>
        <v>150</v>
      </c>
      <c r="H10" s="48">
        <v>0.5</v>
      </c>
    </row>
    <row r="11" ht="15.75" customHeight="1">
      <c r="A11" s="49">
        <v>4.0</v>
      </c>
      <c r="B11" s="50">
        <v>127.0</v>
      </c>
      <c r="C11" s="50">
        <v>178.0</v>
      </c>
      <c r="D11" s="49">
        <f t="shared" si="1"/>
        <v>152.5</v>
      </c>
      <c r="E11" s="47">
        <f t="shared" si="2"/>
        <v>110</v>
      </c>
      <c r="F11" s="49">
        <f t="shared" si="4"/>
        <v>220</v>
      </c>
      <c r="G11" s="49">
        <f t="shared" si="3"/>
        <v>165</v>
      </c>
      <c r="H11" s="48">
        <v>0.5</v>
      </c>
    </row>
    <row r="12" ht="15.75" customHeight="1">
      <c r="A12" s="51">
        <v>5.0</v>
      </c>
      <c r="B12" s="52">
        <v>141.0</v>
      </c>
      <c r="C12" s="52">
        <v>198.0</v>
      </c>
      <c r="D12" s="49">
        <f t="shared" si="1"/>
        <v>169.5</v>
      </c>
      <c r="E12" s="47">
        <f t="shared" si="2"/>
        <v>121</v>
      </c>
      <c r="F12" s="49">
        <f t="shared" si="4"/>
        <v>242</v>
      </c>
      <c r="G12" s="49">
        <f t="shared" si="3"/>
        <v>181.5</v>
      </c>
      <c r="H12" s="48">
        <v>0.5</v>
      </c>
    </row>
    <row r="13">
      <c r="A13" s="53"/>
      <c r="B13" s="54"/>
      <c r="C13" s="54"/>
      <c r="D13" s="20"/>
      <c r="E13" s="55"/>
      <c r="F13" s="55"/>
      <c r="G13" s="55"/>
      <c r="H13" s="56"/>
    </row>
    <row r="14">
      <c r="A14" s="57" t="s">
        <v>68</v>
      </c>
      <c r="B14" s="58"/>
      <c r="C14" s="58"/>
    </row>
    <row r="15">
      <c r="A15" s="5" t="s">
        <v>69</v>
      </c>
      <c r="B15" s="5" t="s">
        <v>198</v>
      </c>
      <c r="C15" s="6" t="s">
        <v>199</v>
      </c>
      <c r="D15" s="6" t="s">
        <v>94</v>
      </c>
      <c r="E15" s="5" t="s">
        <v>122</v>
      </c>
    </row>
    <row r="16" ht="109.5" customHeight="1">
      <c r="A16" s="17" t="s">
        <v>200</v>
      </c>
      <c r="B16" s="17" t="s">
        <v>85</v>
      </c>
      <c r="C16" s="17" t="s">
        <v>201</v>
      </c>
      <c r="D16" s="17" t="s">
        <v>202</v>
      </c>
      <c r="E16" s="17" t="s">
        <v>203</v>
      </c>
    </row>
    <row r="17">
      <c r="D17" s="1"/>
    </row>
    <row r="20">
      <c r="A20" s="1" t="s">
        <v>84</v>
      </c>
    </row>
    <row r="21">
      <c r="A21" s="1" t="s">
        <v>170</v>
      </c>
      <c r="B21" s="1" t="s">
        <v>171</v>
      </c>
      <c r="C21" s="1" t="s">
        <v>172</v>
      </c>
      <c r="D21" s="1" t="s">
        <v>173</v>
      </c>
    </row>
    <row r="22">
      <c r="A22" s="34" t="s">
        <v>101</v>
      </c>
      <c r="B22" s="34" t="s">
        <v>8</v>
      </c>
      <c r="C22" s="34" t="s">
        <v>7</v>
      </c>
      <c r="D22" s="23" t="s">
        <v>35</v>
      </c>
    </row>
  </sheetData>
  <mergeCells count="2">
    <mergeCell ref="B3:G3"/>
    <mergeCell ref="A14:C14"/>
  </mergeCells>
  <drawing r:id="rId1"/>
  <tableParts count="1">
    <tablePart r:id="rId3"/>
  </tableParts>
</worksheet>
</file>