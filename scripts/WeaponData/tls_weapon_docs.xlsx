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tables/table21.xml" ContentType="application/vnd.openxmlformats-officedocument.spreadsheetml.table+xml"/>
  <Override PartName="/xl/tables/table22.xml" ContentType="application/vnd.openxmlformats-officedocument.spreadsheetml.table+xml"/>
  <Override PartName="/xl/tables/table1.xml" ContentType="application/vnd.openxmlformats-officedocument.spreadsheetml.table+xml"/>
  <Override PartName="/xl/tables/table12.xml" ContentType="application/vnd.openxmlformats-officedocument.spreadsheetml.table+xml"/>
  <Override PartName="/xl/tables/table23.xml" ContentType="application/vnd.openxmlformats-officedocument.spreadsheetml.table+xml"/>
  <Override PartName="/xl/tables/table20.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drawings/vmlDrawing13.vml" ContentType="application/vnd.openxmlformats-officedocument.vmlDrawing"/>
  <Override PartName="/xl/sharedStrings.xml" ContentType="application/vnd.openxmlformats-officedocument.spreadsheetml.sharedStrings+xml"/>
  <Override PartName="/xl/comments4.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20.xml" ContentType="application/vnd.openxmlformats-officedocument.spreadsheetml.comments+xml"/>
  <Override PartName="/xl/comments22.xml" ContentType="application/vnd.openxmlformats-officedocument.spreadsheetml.comments+xml"/>
  <Override PartName="/xl/comments26.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Tier 1 Variant Values" sheetId="1" state="visible" r:id="rId2"/>
    <sheet name="Tier 2 Variant Values" sheetId="2" state="visible" r:id="rId3"/>
    <sheet name="sword" sheetId="3" state="visible" r:id="rId4"/>
    <sheet name="Hammer" sheetId="4" state="visible" r:id="rId5"/>
    <sheet name="1h Axe" sheetId="5" state="visible" r:id="rId6"/>
    <sheet name="Dagger" sheetId="6" state="visible" r:id="rId7"/>
    <sheet name="2h sword" sheetId="7" state="visible" r:id="rId8"/>
    <sheet name="2H Hammer" sheetId="8" state="visible" r:id="rId9"/>
    <sheet name="2H AXE" sheetId="9" state="visible" r:id="rId10"/>
    <sheet name="Spear" sheetId="10" state="visible" r:id="rId11"/>
    <sheet name="War Shield" sheetId="11" state="visible" r:id="rId12"/>
    <sheet name="Claws" sheetId="12" state="visible" r:id="rId13"/>
    <sheet name="Shortbow" sheetId="13" state="visible" r:id="rId14"/>
    <sheet name="Longbow" sheetId="14" state="visible" r:id="rId15"/>
    <sheet name="Hand crossbow" sheetId="15" state="visible" r:id="rId16"/>
    <sheet name="Crossbow" sheetId="16" state="visible" r:id="rId17"/>
    <sheet name="Pistol" sheetId="17" state="visible" r:id="rId18"/>
    <sheet name="Rifle" sheetId="18" state="visible" r:id="rId19"/>
    <sheet name="Cannon" sheetId="19" state="visible" r:id="rId20"/>
    <sheet name="Boomerang" sheetId="20" state="visible" r:id="rId21"/>
    <sheet name="Wand" sheetId="21" state="visible" r:id="rId22"/>
    <sheet name="Scepter" sheetId="22" state="visible" r:id="rId23"/>
    <sheet name="Tome of Secrets" sheetId="23" state="visible" r:id="rId24"/>
    <sheet name="Magic orb" sheetId="24" state="visible" r:id="rId25"/>
    <sheet name="power staff" sheetId="25" state="visible" r:id="rId26"/>
    <sheet name="druid staff" sheetId="26" state="visible" r:id="rId27"/>
    <sheet name="Gauntlet" sheetId="27" state="visible" r:id="rId28"/>
    <sheet name="Sacred Flower" sheetId="28" state="visible" r:id="rId29"/>
  </sheets>
  <calcPr iterateCount="100" refMode="A1" iterate="false" iterateDelta="0.0001"/>
  <extLst>
    <ext xmlns:loext="http://schemas.libreoffice.org/" uri="{7626C862-2A13-11E5-B345-FEFF819CDC9F}">
      <loext:extCalcPr stringRefSyntax="CalcA1ExcelA1"/>
    </ext>
  </extLst>
</workbook>
</file>

<file path=xl/comments4.xml><?xml version="1.0" encoding="utf-8"?>
<comments xmlns="http://schemas.openxmlformats.org/spreadsheetml/2006/main" xmlns:xdr="http://schemas.openxmlformats.org/drawingml/2006/spreadsheetDrawing">
  <authors>
    <author> </author>
  </authors>
  <commentList>
    <comment ref="A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r>
      </text>
    </comment>
  </commentList>
</comments>
</file>

<file path=xl/comments7.xml><?xml version="1.0" encoding="utf-8"?>
<comments xmlns="http://schemas.openxmlformats.org/spreadsheetml/2006/main" xmlns:xdr="http://schemas.openxmlformats.org/drawingml/2006/spreadsheetDrawing">
  <authors>
    <author> </author>
  </authors>
  <commentList>
    <comment ref="D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r>
      </text>
    </comment>
  </commentList>
</comments>
</file>

<file path=xl/comments9.xml><?xml version="1.0" encoding="utf-8"?>
<comments xmlns="http://schemas.openxmlformats.org/spreadsheetml/2006/main" xmlns:xdr="http://schemas.openxmlformats.org/drawingml/2006/spreadsheetDrawing">
  <authors>
    <author> </author>
  </authors>
  <commentList>
    <comment ref="B15"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r>
      </text>
    </comment>
  </commentList>
</comments>
</file>

<file path=xl/comments10.xml><?xml version="1.0" encoding="utf-8"?>
<comments xmlns="http://schemas.openxmlformats.org/spreadsheetml/2006/main" xmlns:xdr="http://schemas.openxmlformats.org/drawingml/2006/spreadsheetDrawing">
  <authors>
    <author> </author>
  </authors>
  <commentList>
    <comment ref="A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r>
      </text>
    </comment>
  </commentList>
</comments>
</file>

<file path=xl/comments11.xml><?xml version="1.0" encoding="utf-8"?>
<comments xmlns="http://schemas.openxmlformats.org/spreadsheetml/2006/main" xmlns:xdr="http://schemas.openxmlformats.org/drawingml/2006/spreadsheetDrawing">
  <authors>
    <author> </author>
  </authors>
  <commentList>
    <comment ref="B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r>
      </text>
    </comment>
    <comment ref="C22"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r>
      </text>
    </comment>
  </commentList>
</comments>
</file>

<file path=xl/comments13.xml><?xml version="1.0" encoding="utf-8"?>
<comments xmlns="http://schemas.openxmlformats.org/spreadsheetml/2006/main" xmlns:xdr="http://schemas.openxmlformats.org/drawingml/2006/spreadsheetDrawing">
  <authors>
    <author> </author>
  </authors>
  <commentList>
    <comment ref="A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r>
      </text>
    </comment>
  </commentList>
</comments>
</file>

<file path=xl/comments15.xml><?xml version="1.0" encoding="utf-8"?>
<comments xmlns="http://schemas.openxmlformats.org/spreadsheetml/2006/main" xmlns:xdr="http://schemas.openxmlformats.org/drawingml/2006/spreadsheetDrawing">
  <authors>
    <author> </author>
  </authors>
  <commentList>
    <comment ref="A1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r>
      </text>
    </comment>
    <comment ref="B1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r>
      </text>
    </comment>
  </commentList>
</comments>
</file>

<file path=xl/comments16.xml><?xml version="1.0" encoding="utf-8"?>
<comments xmlns="http://schemas.openxmlformats.org/spreadsheetml/2006/main" xmlns:xdr="http://schemas.openxmlformats.org/drawingml/2006/spreadsheetDrawing">
  <authors>
    <author> </author>
  </authors>
  <commentList>
    <comment ref="A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r>
      </text>
    </comment>
  </commentList>
</comments>
</file>

<file path=xl/comments17.xml><?xml version="1.0" encoding="utf-8"?>
<comments xmlns="http://schemas.openxmlformats.org/spreadsheetml/2006/main" xmlns:xdr="http://schemas.openxmlformats.org/drawingml/2006/spreadsheetDrawing">
  <authors>
    <author> </author>
  </authors>
  <commentList>
    <comment ref="C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r>
      </text>
    </comment>
  </commentList>
</comments>
</file>

<file path=xl/comments18.xml><?xml version="1.0" encoding="utf-8"?>
<comments xmlns="http://schemas.openxmlformats.org/spreadsheetml/2006/main" xmlns:xdr="http://schemas.openxmlformats.org/drawingml/2006/spreadsheetDrawing">
  <authors>
    <author> </author>
  </authors>
  <commentList>
    <comment ref="A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r>
      </text>
    </comment>
    <comment ref="B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r>
      </text>
    </comment>
    <comment ref="C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r>
      </text>
    </comment>
    <comment ref="D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r>
      </text>
    </comment>
  </commentList>
</comments>
</file>

<file path=xl/comments20.xml><?xml version="1.0" encoding="utf-8"?>
<comments xmlns="http://schemas.openxmlformats.org/spreadsheetml/2006/main" xmlns:xdr="http://schemas.openxmlformats.org/drawingml/2006/spreadsheetDrawing">
  <authors>
    <author> </author>
  </authors>
  <commentList>
    <comment ref="D1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r>
      </text>
    </comment>
  </commentList>
</comments>
</file>

<file path=xl/comments22.xml><?xml version="1.0" encoding="utf-8"?>
<comments xmlns="http://schemas.openxmlformats.org/spreadsheetml/2006/main" xmlns:xdr="http://schemas.openxmlformats.org/drawingml/2006/spreadsheetDrawing">
  <authors>
    <author> </author>
  </authors>
  <commentList>
    <comment ref="B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r>
      </text>
    </comment>
  </commentList>
</comments>
</file>

<file path=xl/comments26.xml><?xml version="1.0" encoding="utf-8"?>
<comments xmlns="http://schemas.openxmlformats.org/spreadsheetml/2006/main" xmlns:xdr="http://schemas.openxmlformats.org/drawingml/2006/spreadsheetDrawing">
  <authors>
    <author> </author>
  </authors>
  <commentList>
    <comment ref="D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r>
      </text>
    </comment>
  </commentList>
</comments>
</file>

<file path=xl/sharedStrings.xml><?xml version="1.0" encoding="utf-8"?>
<sst xmlns="http://schemas.openxmlformats.org/spreadsheetml/2006/main" count="813" uniqueCount="209">
  <si>
    <t xml:space="preserve">These are the weapon variant values for Tier 1 weapon variants, so Steel, Silver, Journeyman's and Adepts</t>
  </si>
  <si>
    <t xml:space="preserve">Level</t>
  </si>
  <si>
    <t xml:space="preserve">Momentum</t>
  </si>
  <si>
    <t xml:space="preserve">Physical Damage</t>
  </si>
  <si>
    <t xml:space="preserve">Ranged Damage</t>
  </si>
  <si>
    <t xml:space="preserve">Magic Damage</t>
  </si>
  <si>
    <t xml:space="preserve">Stun Chance</t>
  </si>
  <si>
    <t xml:space="preserve">Mana;Mana Regen</t>
  </si>
  <si>
    <t xml:space="preserve">Health;Health Regen</t>
  </si>
  <si>
    <t xml:space="preserve">Reliability</t>
  </si>
  <si>
    <t xml:space="preserve">Opportunism</t>
  </si>
  <si>
    <t xml:space="preserve">Isolation</t>
  </si>
  <si>
    <t xml:space="preserve">Resistance Reduction</t>
  </si>
  <si>
    <t xml:space="preserve">Accuracy</t>
  </si>
  <si>
    <t xml:space="preserve">Block</t>
  </si>
  <si>
    <t xml:space="preserve">Critical</t>
  </si>
  <si>
    <t xml:space="preserve">Critical Power</t>
  </si>
  <si>
    <t xml:space="preserve">Poison Damage</t>
  </si>
  <si>
    <t xml:space="preserve">XP gain</t>
  </si>
  <si>
    <t xml:space="preserve">6;2</t>
  </si>
  <si>
    <t xml:space="preserve">40;8</t>
  </si>
  <si>
    <t xml:space="preserve">7;2</t>
  </si>
  <si>
    <t xml:space="preserve">48;9</t>
  </si>
  <si>
    <t xml:space="preserve">8;3</t>
  </si>
  <si>
    <t xml:space="preserve">56;10</t>
  </si>
  <si>
    <t xml:space="preserve">9;3</t>
  </si>
  <si>
    <t xml:space="preserve">64;12</t>
  </si>
  <si>
    <t xml:space="preserve">10;4</t>
  </si>
  <si>
    <t xml:space="preserve">72;14</t>
  </si>
  <si>
    <t xml:space="preserve">12;4</t>
  </si>
  <si>
    <t xml:space="preserve">80;16</t>
  </si>
  <si>
    <t xml:space="preserve">These are the weapon variant values for Tier 2 weapon variants, so Mythril, Adamantium, Masters and Archmasters</t>
  </si>
  <si>
    <t xml:space="preserve">Propagation Bounces</t>
  </si>
  <si>
    <t xml:space="preserve">Propagation Damage</t>
  </si>
  <si>
    <t xml:space="preserve">Move Points;Dodge</t>
  </si>
  <si>
    <t xml:space="preserve">Skill Range</t>
  </si>
  <si>
    <t xml:space="preserve">Armor;Resistance</t>
  </si>
  <si>
    <t xml:space="preserve">1;6</t>
  </si>
  <si>
    <t xml:space="preserve">35;5</t>
  </si>
  <si>
    <t xml:space="preserve">50;16</t>
  </si>
  <si>
    <t xml:space="preserve">1;7</t>
  </si>
  <si>
    <t xml:space="preserve">42;6</t>
  </si>
  <si>
    <t xml:space="preserve">60;19</t>
  </si>
  <si>
    <t xml:space="preserve">1;8</t>
  </si>
  <si>
    <t xml:space="preserve">50;7</t>
  </si>
  <si>
    <t xml:space="preserve">14;5</t>
  </si>
  <si>
    <t xml:space="preserve">70;22</t>
  </si>
  <si>
    <t xml:space="preserve">2;9</t>
  </si>
  <si>
    <t xml:space="preserve">57;8</t>
  </si>
  <si>
    <t xml:space="preserve">16;6</t>
  </si>
  <si>
    <t xml:space="preserve">80;25</t>
  </si>
  <si>
    <t xml:space="preserve">2;10</t>
  </si>
  <si>
    <t xml:space="preserve">63;9</t>
  </si>
  <si>
    <t xml:space="preserve">18;7</t>
  </si>
  <si>
    <t xml:space="preserve">90;28</t>
  </si>
  <si>
    <t xml:space="preserve">2;12</t>
  </si>
  <si>
    <t xml:space="preserve">70;10</t>
  </si>
  <si>
    <t xml:space="preserve">20;8</t>
  </si>
  <si>
    <t xml:space="preserve">100;32</t>
  </si>
  <si>
    <t xml:space="preserve">Note: Normal variants use levels 0 to 5, wooden/novice/rusty variants use levels -1 to 4</t>
  </si>
  <si>
    <t xml:space="preserve">Damage Changes</t>
  </si>
  <si>
    <t xml:space="preserve">old min damage</t>
  </si>
  <si>
    <t xml:space="preserve">old max damage</t>
  </si>
  <si>
    <t xml:space="preserve">old avg damage</t>
  </si>
  <si>
    <t xml:space="preserve">new min damage</t>
  </si>
  <si>
    <t xml:space="preserve">new max damage</t>
  </si>
  <si>
    <t xml:space="preserve">new avg damage (baseline)</t>
  </si>
  <si>
    <t xml:space="preserve">spread</t>
  </si>
  <si>
    <t xml:space="preserve">Skill Changes</t>
  </si>
  <si>
    <t xml:space="preserve">Skill 1</t>
  </si>
  <si>
    <t xml:space="preserve">Skill 2</t>
  </si>
  <si>
    <t xml:space="preserve">Skill 3</t>
  </si>
  <si>
    <t xml:space="preserve"> +5% base momentum</t>
  </si>
  <si>
    <t xml:space="preserve"> +1 range, dmg mod to 1.7x from 1.6x</t>
  </si>
  <si>
    <t xml:space="preserve">-1 mana cost, +1 range, dmg mod to 1.7x from 1.6x</t>
  </si>
  <si>
    <t xml:space="preserve">Variants:</t>
  </si>
  <si>
    <t xml:space="preserve">Steel</t>
  </si>
  <si>
    <t xml:space="preserve">silver</t>
  </si>
  <si>
    <t xml:space="preserve">mythril</t>
  </si>
  <si>
    <t xml:space="preserve">adamantium</t>
  </si>
  <si>
    <t xml:space="preserve">Move points;Dodge</t>
  </si>
  <si>
    <t xml:space="preserve">now aplies -12-18% resistance debuff for 2 turns</t>
  </si>
  <si>
    <t xml:space="preserve"> +1 use</t>
  </si>
  <si>
    <t xml:space="preserve">Increase stun chance to 125 on the main tile, secondary damage mod to 0.66x from 0.5x</t>
  </si>
  <si>
    <t xml:space="preserve">Variants</t>
  </si>
  <si>
    <t xml:space="preserve">No changes</t>
  </si>
  <si>
    <t xml:space="preserve">Now has a 3x3 aoe, centered around the bottom-center tile, debuff is 35% damage for 2 turns and purges all enemy buffs, but costs 1 mana</t>
  </si>
  <si>
    <t xml:space="preserve">dmg mod to 1.6x from 1.4x</t>
  </si>
  <si>
    <t xml:space="preserve">New skill 2 aoe</t>
  </si>
  <si>
    <t xml:space="preserve">Base stat penalties/bonuses</t>
  </si>
  <si>
    <t xml:space="preserve">Refreshes +2 move points</t>
  </si>
  <si>
    <t xml:space="preserve">dmg mod to 1.6x</t>
  </si>
  <si>
    <t xml:space="preserve">no changes</t>
  </si>
  <si>
    <t xml:space="preserve">Remove them</t>
  </si>
  <si>
    <t xml:space="preserve">Skill 4</t>
  </si>
  <si>
    <t xml:space="preserve">Move point restore: 3 -&gt; 4</t>
  </si>
  <si>
    <t xml:space="preserve"> +5 base momentum</t>
  </si>
  <si>
    <t xml:space="preserve"> +5 base momentum, Remove movement cost, increase mana cost to 3</t>
  </si>
  <si>
    <t xml:space="preserve">Resistance reduction</t>
  </si>
  <si>
    <t xml:space="preserve">Physical damage</t>
  </si>
  <si>
    <t xml:space="preserve">Dmg mod 0.7x -&gt; 0.85x</t>
  </si>
  <si>
    <t xml:space="preserve"> +1 use, +1 base prop bounce</t>
  </si>
  <si>
    <t xml:space="preserve">New AOE, Mana cost to 4, Range 2-3 -&gt; 3-3 Main tile dmg mod 1.2x, secondary tile dmg mod 0.6x</t>
  </si>
  <si>
    <t xml:space="preserve">opportunism</t>
  </si>
  <si>
    <t xml:space="preserve">stun chance</t>
  </si>
  <si>
    <t xml:space="preserve">propagation damage</t>
  </si>
  <si>
    <t xml:space="preserve">Dmg mod: 1.1x -&gt; 1.3x, Range: 3-5 -&gt; 2-4, Gains undodgeable. Now gives   -12/11/12/13/14/18 dodge debuff to ALL tiles for 2 turns instead of -2 move points for 1 turn to secondary tiles. </t>
  </si>
  <si>
    <t xml:space="preserve">accuracy</t>
  </si>
  <si>
    <t xml:space="preserve">reliability</t>
  </si>
  <si>
    <t xml:space="preserve">critical</t>
  </si>
  <si>
    <t xml:space="preserve">new skill 1 aoe</t>
  </si>
  <si>
    <t xml:space="preserve">Added a 4th primary tile</t>
  </si>
  <si>
    <t xml:space="preserve">dmg mod to 1.15x</t>
  </si>
  <si>
    <t xml:space="preserve">physical damage</t>
  </si>
  <si>
    <t xml:space="preserve">momentum</t>
  </si>
  <si>
    <t xml:space="preserve">New Skill 3 aoe:</t>
  </si>
  <si>
    <t xml:space="preserve">Perk:</t>
  </si>
  <si>
    <t xml:space="preserve">Damage modifier to 1.3x, block buff to 10-15 for 1 turn</t>
  </si>
  <si>
    <t xml:space="preserve">-1 use per turn, New AOE, main tile damage mod to 2.1x, side tile damage mod to 0.6, debuff to -50% damage for 1 turn</t>
  </si>
  <si>
    <t xml:space="preserve">damage modifier to 1.6x, Mana cost to 6</t>
  </si>
  <si>
    <t xml:space="preserve">Damage bonus when getting hit increased to 12% from 8%</t>
  </si>
  <si>
    <t xml:space="preserve">-20% dodge from -10%</t>
  </si>
  <si>
    <t xml:space="preserve">block</t>
  </si>
  <si>
    <t xml:space="preserve">resistance reduction</t>
  </si>
  <si>
    <t xml:space="preserve">Perk</t>
  </si>
  <si>
    <t xml:space="preserve">Is now Skill 3, Physical damage buff to 10-15% from 8-12%, costs 2 mana</t>
  </si>
  <si>
    <t xml:space="preserve">DMG mod to 1.3x from 0.8x, no longer has isolation multiplier 1.5x, no longer costs move or action points</t>
  </si>
  <si>
    <t xml:space="preserve">Dmg mod to 1.9x from 1.6x</t>
  </si>
  <si>
    <t xml:space="preserve">Reworked to: After using sharpened claws, the next skill has +3 multihit. If that skill is piercing claws, it has -35% damage</t>
  </si>
  <si>
    <t xml:space="preserve">CriticalPower</t>
  </si>
  <si>
    <t xml:space="preserve">isolation</t>
  </si>
  <si>
    <t xml:space="preserve">added isolation modifier 1.35x</t>
  </si>
  <si>
    <t xml:space="preserve"> -1 skill range, now has armor piercing, damage mod to 1.65x</t>
  </si>
  <si>
    <t xml:space="preserve">damage mod: 1.0x -&gt; 0.8x, 
Applies 25 base poison for 3 turns 
-3 move points for 2 turns -&gt; -2 move for 1 turn  
+1 use</t>
  </si>
  <si>
    <t xml:space="preserve">damage mod increased to 1.85x</t>
  </si>
  <si>
    <t xml:space="preserve">poison damage</t>
  </si>
  <si>
    <t xml:space="preserve">xp gain</t>
  </si>
  <si>
    <t xml:space="preserve">skill range</t>
  </si>
  <si>
    <t xml:space="preserve">Remove isolation multiplier, add 1.25x opportunist multiplier, -2 range, -1 use</t>
  </si>
  <si>
    <t xml:space="preserve">Effect changed to: -20/22/24/26/28/30 dodge, - 40-80 block, Purge all buffs, -2 range</t>
  </si>
  <si>
    <t xml:space="preserve">-2 range</t>
  </si>
  <si>
    <t xml:space="preserve">-2 range, +1 mana cost</t>
  </si>
  <si>
    <t xml:space="preserve">Remove the -10% reliability</t>
  </si>
  <si>
    <t xml:space="preserve">Reworked to: a skill: Slow death, 1ap, deals base damage and inflicts 50 additional poison for 2 turns. 5 uses per turn</t>
  </si>
  <si>
    <t xml:space="preserve">Reworked to: Quickshot: 2 ap, 4 multihits
2 uses, inaccurate 2x, 1.15x damage modifier</t>
  </si>
  <si>
    <t xml:space="preserve">Replaced resistance debuff with -1 movement debuff, -1 use</t>
  </si>
  <si>
    <t xml:space="preserve"> +1 use  Dmg mod 1.7x -&gt; 1.75x</t>
  </si>
  <si>
    <t xml:space="preserve">Range 3-10 to 1-8</t>
  </si>
  <si>
    <t xml:space="preserve">New AOE, Mana cost to 4, primary tile Dmg mod: 3x, Secondary tile dmg mod: 1.5x</t>
  </si>
  <si>
    <t xml:space="preserve">New Aoe</t>
  </si>
  <si>
    <t xml:space="preserve">steel</t>
  </si>
  <si>
    <t xml:space="preserve">ranged damage</t>
  </si>
  <si>
    <t xml:space="preserve">Base</t>
  </si>
  <si>
    <t xml:space="preserve">Base momentum to 25 from 20</t>
  </si>
  <si>
    <t xml:space="preserve">base dmg mod to 1.35x, Increased isolation modifier to 1.5x</t>
  </si>
  <si>
    <t xml:space="preserve">Dmg mod to 1.45x from 1.35x</t>
  </si>
  <si>
    <t xml:space="preserve">Removed the +15% crit damage modifier</t>
  </si>
  <si>
    <t xml:space="preserve">Switches with skill 2, Dmg mod to 0.8x, gains propagation x3, Range to 1-5</t>
  </si>
  <si>
    <t xml:space="preserve">switches places with skill 1, Dmg mod to 1.0x, no longer has opportunism multiplier</t>
  </si>
  <si>
    <t xml:space="preserve">DMG mod to 0.3x from 0.2x
Rescaled accuracy debuff from 40-50 to 40-60</t>
  </si>
  <si>
    <t xml:space="preserve">Reworked to: 2 uses, 1 ap 2 mana, 2 move points, damage mod: 1.25x, 1.5x isolation multiplier, 1.5x opportunism multiplier.</t>
  </si>
  <si>
    <t xml:space="preserve">Remove the -1 move speed penalty</t>
  </si>
  <si>
    <t xml:space="preserve">propagation bounces</t>
  </si>
  <si>
    <t xml:space="preserve">Reworked to: 
2 uses per turn, 
1 ap 2 mana, 
damage mod 1,15x, 
No longer deals damage on side tiles, stun chance increased to 55%
the main tile now gets momentum 20% and no longer stuns</t>
  </si>
  <si>
    <t xml:space="preserve">Damage mod: 0.7 -&gt; 1.1x</t>
  </si>
  <si>
    <t xml:space="preserve">Increased fireblast damage from 82-130 to 225-225 and it scales with hero level BUT
- The base hp cost gets increased to 20, increased by 4 per heat above 7
- Using the fire blast sets heat to 0
- Decreased Cooldown per turn to 4 from 5
</t>
  </si>
  <si>
    <t xml:space="preserve">Reworked to: 1 ap non-multihit skill with 80% base stun chance. 5 uses</t>
  </si>
  <si>
    <t xml:space="preserve">costs 1 ap 2 mana
New AOE, 3 uses, main damage modifier to 1.6x, Removed stun and vision, added undodgable and a 12-18% dodge debuff on the main and side tiles</t>
  </si>
  <si>
    <t xml:space="preserve">Costs 3 ap 4 mana
Damage mod to 1.8x,
Stun chance to 85%, Main tiles also stun
No longer has vision
</t>
  </si>
  <si>
    <t xml:space="preserve">Reworked to: Strong throw: After the hero Damages 4 enemies boomerang skills, for the next boomerang's skill, side tiles become main tiles, -2 mana cost, precision targeting gets 2 multihit and propagation</t>
  </si>
  <si>
    <t xml:space="preserve">Skill 2 AOE</t>
  </si>
  <si>
    <t xml:space="preserve">Now grants a 8-12% damage buff that lasts 1 turn</t>
  </si>
  <si>
    <t xml:space="preserve">No longer grants a damage buff, purges all debuffs from target</t>
  </si>
  <si>
    <t xml:space="preserve">dmg mod to 0.8x from 0.85x, 5 base multihits</t>
  </si>
  <si>
    <t xml:space="preserve">Journeyman</t>
  </si>
  <si>
    <t xml:space="preserve">Adept</t>
  </si>
  <si>
    <t xml:space="preserve">Master's</t>
  </si>
  <si>
    <t xml:space="preserve">Archmaster's</t>
  </si>
  <si>
    <t xml:space="preserve">Base momentum increased to 35</t>
  </si>
  <si>
    <t xml:space="preserve">Reworked to shocking touch: 3 uses, melee range, 1.35x damage mod, 1 ap 1 mana cost, refreshes 4 move points, debuffs accuracy by 16-24% </t>
  </si>
  <si>
    <t xml:space="preserve">Dmg mod: 1.4x -&gt; 1.7x
Stun chance 60 -&gt; 65</t>
  </si>
  <si>
    <t xml:space="preserve">variants</t>
  </si>
  <si>
    <t xml:space="preserve">Skill 2 aoe</t>
  </si>
  <si>
    <t xml:space="preserve">-2 prop bounces</t>
  </si>
  <si>
    <t xml:space="preserve">DMG mod to 1.6x from 1.3x</t>
  </si>
  <si>
    <t xml:space="preserve">DMG mod to 1.5x from 1.4x, -1 prop bounce</t>
  </si>
  <si>
    <t xml:space="preserve">magic damage</t>
  </si>
  <si>
    <t xml:space="preserve">Base Health penalty</t>
  </si>
  <si>
    <t xml:space="preserve">Now also grants +10-15% poison damage for 1 turn</t>
  </si>
  <si>
    <t xml:space="preserve">Remove it</t>
  </si>
  <si>
    <t xml:space="preserve">Mana;Mana Regen
</t>
  </si>
  <si>
    <t xml:space="preserve"> +1 range, Accuracy debuff: 10-15 -&gt; 12-18</t>
  </si>
  <si>
    <t xml:space="preserve"> +1 range, +1 use</t>
  </si>
  <si>
    <t xml:space="preserve">Mana cost 5 -&gt; 6
Dmg mod: 1.2x -&gt; 1.25x
Now purges all positive alterations from enemies</t>
  </si>
  <si>
    <t xml:space="preserve">Move Points;Dodge
</t>
  </si>
  <si>
    <t xml:space="preserve">Skill 2 (entangle)</t>
  </si>
  <si>
    <t xml:space="preserve">Skill 3 (acid spray)</t>
  </si>
  <si>
    <t xml:space="preserve">-1 mana cost. Effect changed to: -20/22/24/26/28/30 dodge, - 40-80 block, Purge all buffs</t>
  </si>
  <si>
    <t xml:space="preserve">Poison damage to 35 from 30</t>
  </si>
  <si>
    <t xml:space="preserve">Mana;Mana regen</t>
  </si>
  <si>
    <t xml:space="preserve">opportunism
</t>
  </si>
  <si>
    <t xml:space="preserve">opportunist multiplier decreased to 1.4x from 1.6x</t>
  </si>
  <si>
    <t xml:space="preserve">Increase damage mod from 1.25x to 1.6x, mana cost to 7 from 6</t>
  </si>
  <si>
    <t xml:space="preserve">Skill 2 </t>
  </si>
  <si>
    <t xml:space="preserve">Skill 3 </t>
  </si>
  <si>
    <t xml:space="preserve">No longer poisons the main tile, but has momentum 20%
Poison on side tiles: 35 -&gt; 40
</t>
  </si>
  <si>
    <t xml:space="preserve">Costs 2 ap 1 mana, dmg mod to 1.7 from 1.3, deals 0.3x damage on side tiles and applies 100% stun chance</t>
  </si>
  <si>
    <t xml:space="preserve">Cost 3 ap 8 mana -&gt; 2 ap 8 mana
Dmg mod 1.3 -&gt; 1.5
Now purges all removable statuses instead of just buffs</t>
  </si>
  <si>
    <t xml:space="preserve">Decrease the plague poison scaling from 3 +1 per 3 hero levels to 3 + 1 per 5 hero levels</t>
  </si>
</sst>
</file>

<file path=xl/styles.xml><?xml version="1.0" encoding="utf-8"?>
<styleSheet xmlns="http://schemas.openxmlformats.org/spreadsheetml/2006/main">
  <numFmts count="2">
    <numFmt numFmtId="164" formatCode="General"/>
    <numFmt numFmtId="165" formatCode="@"/>
  </numFmts>
  <fonts count="7">
    <font>
      <sz val="10"/>
      <color rgb="FF000000"/>
      <name val="Arial"/>
      <family val="0"/>
      <charset val="1"/>
    </font>
    <font>
      <sz val="10"/>
      <name val="Arial"/>
      <family val="0"/>
      <charset val="238"/>
    </font>
    <font>
      <sz val="10"/>
      <name val="Arial"/>
      <family val="0"/>
      <charset val="238"/>
    </font>
    <font>
      <sz val="10"/>
      <name val="Arial"/>
      <family val="0"/>
      <charset val="238"/>
    </font>
    <font>
      <sz val="11"/>
      <color rgb="FF000000"/>
      <name val="Arial"/>
      <family val="0"/>
      <charset val="1"/>
    </font>
    <font>
      <sz val="11"/>
      <color rgb="FFFF0000"/>
      <name val="Arial"/>
      <family val="0"/>
      <charset val="1"/>
    </font>
    <font>
      <b val="true"/>
      <sz val="11"/>
      <color rgb="FF000000"/>
      <name val="Arial"/>
      <family val="0"/>
      <charset val="1"/>
    </font>
  </fonts>
  <fills count="7">
    <fill>
      <patternFill patternType="none"/>
    </fill>
    <fill>
      <patternFill patternType="gray125"/>
    </fill>
    <fill>
      <patternFill patternType="solid">
        <fgColor rgb="FFFF0000"/>
        <bgColor rgb="FF993300"/>
      </patternFill>
    </fill>
    <fill>
      <patternFill patternType="solid">
        <fgColor rgb="FF4A86E8"/>
        <bgColor rgb="FF666699"/>
      </patternFill>
    </fill>
    <fill>
      <patternFill patternType="solid">
        <fgColor rgb="FFFFFFFF"/>
        <bgColor rgb="FFFFFFCC"/>
      </patternFill>
    </fill>
    <fill>
      <patternFill patternType="solid">
        <fgColor rgb="FF00FF00"/>
        <bgColor rgb="FF33CCCC"/>
      </patternFill>
    </fill>
    <fill>
      <patternFill patternType="solid">
        <fgColor rgb="FF00FFFF"/>
        <bgColor rgb="FF00FFFF"/>
      </patternFill>
    </fill>
  </fills>
  <borders count="9">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top style="thin"/>
      <bottom style="thin"/>
      <diagonal/>
    </border>
    <border diagonalUp="false" diagonalDown="false">
      <left style="thin"/>
      <right style="thin"/>
      <top/>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right/>
      <top style="thin"/>
      <bottom/>
      <diagonal/>
    </border>
    <border diagonalUp="false" diagonalDown="false">
      <left style="thin"/>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true" hidden="false"/>
    </xf>
    <xf numFmtId="165" fontId="4" fillId="0" borderId="0" xfId="0" applyFont="true" applyBorder="false" applyAlignment="true" applyProtection="true">
      <alignment horizontal="left"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center" textRotation="0" wrapText="false" indent="0" shrinkToFit="false"/>
      <protection locked="true" hidden="false"/>
    </xf>
    <xf numFmtId="164" fontId="4"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true" indent="0" shrinkToFit="false"/>
      <protection locked="true" hidden="false"/>
    </xf>
    <xf numFmtId="164" fontId="4" fillId="0" borderId="2" xfId="0" applyFont="true" applyBorder="true" applyAlignment="true" applyProtection="true">
      <alignment horizontal="general" vertical="bottom" textRotation="0" wrapText="true" indent="0" shrinkToFit="false"/>
      <protection locked="true" hidden="false"/>
    </xf>
    <xf numFmtId="164" fontId="4" fillId="0" borderId="1" xfId="0" applyFont="true" applyBorder="true" applyAlignment="true" applyProtection="true">
      <alignment horizontal="general" vertical="top" textRotation="0" wrapText="true" indent="0" shrinkToFit="false"/>
      <protection locked="true" hidden="false"/>
    </xf>
    <xf numFmtId="164" fontId="4" fillId="0" borderId="1" xfId="0" applyFont="true" applyBorder="true" applyAlignment="true" applyProtection="true">
      <alignment horizontal="general" vertical="top"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4" fillId="0" borderId="4" xfId="0" applyFont="true" applyBorder="true" applyAlignment="true" applyProtection="true">
      <alignment horizontal="general" vertical="bottom" textRotation="0" wrapText="false" indent="0" shrinkToFit="false"/>
      <protection locked="true" hidden="false"/>
    </xf>
    <xf numFmtId="164" fontId="4" fillId="0" borderId="3" xfId="0" applyFont="true" applyBorder="true" applyAlignment="true" applyProtection="true">
      <alignment horizontal="general" vertical="top" textRotation="0" wrapText="true" indent="0" shrinkToFit="false"/>
      <protection locked="true" hidden="false"/>
    </xf>
    <xf numFmtId="164" fontId="4" fillId="0" borderId="4" xfId="0" applyFont="true" applyBorder="true" applyAlignment="true" applyProtection="true">
      <alignment horizontal="general" vertical="top" textRotation="0" wrapText="tru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0" borderId="5" xfId="0" applyFont="true" applyBorder="true" applyAlignment="true" applyProtection="true">
      <alignment horizontal="general" vertical="bottom" textRotation="0" wrapText="tru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general" vertical="top" textRotation="0" wrapText="true" indent="0" shrinkToFit="false"/>
      <protection locked="true" hidden="false"/>
    </xf>
    <xf numFmtId="164" fontId="4" fillId="0" borderId="5" xfId="0" applyFont="true" applyBorder="true" applyAlignment="true" applyProtection="true">
      <alignment horizontal="general" vertical="top" textRotation="0" wrapText="tru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6" xfId="0" applyFont="true" applyBorder="true" applyAlignment="true" applyProtection="true">
      <alignment horizontal="general"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1" xfId="0" applyFont="true" applyBorder="true" applyAlignment="true" applyProtection="true">
      <alignment horizontal="right" vertical="bottom" textRotation="0" wrapText="false" indent="0" shrinkToFit="false"/>
      <protection locked="true" hidden="false"/>
    </xf>
    <xf numFmtId="164" fontId="4" fillId="0" borderId="5" xfId="0" applyFont="true" applyBorder="true" applyAlignment="true" applyProtection="true">
      <alignment horizontal="right" vertical="bottom" textRotation="0" wrapText="false" indent="0" shrinkToFit="false"/>
      <protection locked="true" hidden="false"/>
    </xf>
    <xf numFmtId="164" fontId="4" fillId="0" borderId="5" xfId="0" applyFont="true" applyBorder="true" applyAlignment="true" applyProtection="true">
      <alignment horizontal="general" vertical="bottom" textRotation="0" wrapText="false" indent="0" shrinkToFit="false"/>
      <protection locked="true" hidden="false"/>
    </xf>
    <xf numFmtId="164" fontId="4" fillId="0" borderId="7" xfId="0" applyFont="true" applyBorder="true" applyAlignment="true" applyProtection="true">
      <alignment horizontal="right" vertical="bottom" textRotation="0" wrapText="false" indent="0" shrinkToFit="false"/>
      <protection locked="true" hidden="false"/>
    </xf>
    <xf numFmtId="164" fontId="4" fillId="0" borderId="7" xfId="0" applyFont="tru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4" fillId="0" borderId="8"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00FFFFFF"/>
        </patternFill>
      </fill>
    </dxf>
    <dxf>
      <fill>
        <patternFill patternType="solid">
          <fgColor rgb="FF000000"/>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sharedStrings" Target="sharedStrings.xml"/>
</Relationships>
</file>

<file path=xl/tables/table1.xml><?xml version="1.0" encoding="utf-8"?>
<table xmlns="http://schemas.openxmlformats.org/spreadsheetml/2006/main" id="1" name="Tabela1" displayName="Tabela1"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xml><?xml version="1.0" encoding="utf-8"?>
<table xmlns="http://schemas.openxmlformats.org/spreadsheetml/2006/main" id="2" name="Tabela10" displayName="Tabela10"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3.xml><?xml version="1.0" encoding="utf-8"?>
<table xmlns="http://schemas.openxmlformats.org/spreadsheetml/2006/main" id="3" name="Tabela11" displayName="Tabela11"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4.xml><?xml version="1.0" encoding="utf-8"?>
<table xmlns="http://schemas.openxmlformats.org/spreadsheetml/2006/main" id="4" name="Tabela12" displayName="Tabela12"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5.xml><?xml version="1.0" encoding="utf-8"?>
<table xmlns="http://schemas.openxmlformats.org/spreadsheetml/2006/main" id="5" name="Tabela13" displayName="Tabela13"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6.xml><?xml version="1.0" encoding="utf-8"?>
<table xmlns="http://schemas.openxmlformats.org/spreadsheetml/2006/main" id="6" name="Tabela14" displayName="Tabela14"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7.xml><?xml version="1.0" encoding="utf-8"?>
<table xmlns="http://schemas.openxmlformats.org/spreadsheetml/2006/main" id="7" name="Tabela15" displayName="Tabela15"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8.xml><?xml version="1.0" encoding="utf-8"?>
<table xmlns="http://schemas.openxmlformats.org/spreadsheetml/2006/main" id="8" name="Tabela16" displayName="Tabela16"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9.xml><?xml version="1.0" encoding="utf-8"?>
<table xmlns="http://schemas.openxmlformats.org/spreadsheetml/2006/main" id="9" name="Tabela17" displayName="Tabela17"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0.xml><?xml version="1.0" encoding="utf-8"?>
<table xmlns="http://schemas.openxmlformats.org/spreadsheetml/2006/main" id="10" name="Tabela18" displayName="Tabela18"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1.xml><?xml version="1.0" encoding="utf-8"?>
<table xmlns="http://schemas.openxmlformats.org/spreadsheetml/2006/main" id="11" name="Tabela19" displayName="Tabela19"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2.xml><?xml version="1.0" encoding="utf-8"?>
<table xmlns="http://schemas.openxmlformats.org/spreadsheetml/2006/main" id="12" name="Tabela2" displayName="Tabela2"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3.xml><?xml version="1.0" encoding="utf-8"?>
<table xmlns="http://schemas.openxmlformats.org/spreadsheetml/2006/main" id="13" name="Tabela20" displayName="Tabela20"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4.xml><?xml version="1.0" encoding="utf-8"?>
<table xmlns="http://schemas.openxmlformats.org/spreadsheetml/2006/main" id="14" name="Tabela21" displayName="Tabela21"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5.xml><?xml version="1.0" encoding="utf-8"?>
<table xmlns="http://schemas.openxmlformats.org/spreadsheetml/2006/main" id="15" name="Tabela22" displayName="Tabela22"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6.xml><?xml version="1.0" encoding="utf-8"?>
<table xmlns="http://schemas.openxmlformats.org/spreadsheetml/2006/main" id="16" name="Tabela23" displayName="Tabela23"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7.xml><?xml version="1.0" encoding="utf-8"?>
<table xmlns="http://schemas.openxmlformats.org/spreadsheetml/2006/main" id="17" name="Tabela24" displayName="Tabela24"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8.xml><?xml version="1.0" encoding="utf-8"?>
<table xmlns="http://schemas.openxmlformats.org/spreadsheetml/2006/main" id="18" name="Tabela25" displayName="Tabela25"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9.xml><?xml version="1.0" encoding="utf-8"?>
<table xmlns="http://schemas.openxmlformats.org/spreadsheetml/2006/main" id="19" name="Tabela26" displayName="Tabela26"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0.xml><?xml version="1.0" encoding="utf-8"?>
<table xmlns="http://schemas.openxmlformats.org/spreadsheetml/2006/main" id="20" name="Tabela3" displayName="Tabela3"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1.xml><?xml version="1.0" encoding="utf-8"?>
<table xmlns="http://schemas.openxmlformats.org/spreadsheetml/2006/main" id="21" name="Tabela30" displayName="Tabela30" ref="A8:R14" headerRowCount="1" totalsRowCount="0" totalsRowShown="0">
  <tableColumns count="18">
    <tableColumn id="1" name="Level"/>
    <tableColumn id="2" name="Momentum"/>
    <tableColumn id="3" name="Physical Damage"/>
    <tableColumn id="4" name="Ranged Damage"/>
    <tableColumn id="5" name="Magic Damage"/>
    <tableColumn id="6" name="Stun Chance"/>
    <tableColumn id="7" name="Mana;Mana Regen"/>
    <tableColumn id="8" name="Health;Health Regen"/>
    <tableColumn id="9" name="Reliability"/>
    <tableColumn id="10" name="Opportunism"/>
    <tableColumn id="11" name="Isolation"/>
    <tableColumn id="12" name="Resistance Reduction"/>
    <tableColumn id="13" name="Accuracy"/>
    <tableColumn id="14" name="Block"/>
    <tableColumn id="15" name="Critical"/>
    <tableColumn id="16" name="Critical Power"/>
    <tableColumn id="17" name="Poison Damage"/>
    <tableColumn id="18" name="XP gain"/>
  </tableColumns>
</table>
</file>

<file path=xl/tables/table22.xml><?xml version="1.0" encoding="utf-8"?>
<table xmlns="http://schemas.openxmlformats.org/spreadsheetml/2006/main" id="22" name="Tabela31" displayName="Tabela31" ref="A8:W14" headerRowCount="1" totalsRowCount="0" totalsRowShown="0">
  <tableColumns count="23">
    <tableColumn id="1" name="Level"/>
    <tableColumn id="2" name="Propagation Bounces"/>
    <tableColumn id="3" name="Propagation Damage"/>
    <tableColumn id="4" name="Move Points;Dodge"/>
    <tableColumn id="5" name="Skill Range"/>
    <tableColumn id="6" name="Armor;Resistance"/>
    <tableColumn id="7" name="Momentum"/>
    <tableColumn id="8" name="Physical Damage"/>
    <tableColumn id="9" name="Ranged Damage"/>
    <tableColumn id="10" name="Magic Damage"/>
    <tableColumn id="11" name="Stun Chance"/>
    <tableColumn id="12" name="Mana;Mana Regen"/>
    <tableColumn id="13" name="Health;Health Regen"/>
    <tableColumn id="14" name="Reliability"/>
    <tableColumn id="15" name="Opportunism"/>
    <tableColumn id="16" name="Isolation"/>
    <tableColumn id="17" name="Resistance Reduction"/>
    <tableColumn id="18" name="Accuracy"/>
    <tableColumn id="19" name="Block"/>
    <tableColumn id="20" name="Critical"/>
    <tableColumn id="21" name="Critical Power"/>
    <tableColumn id="22" name="Poison Damage"/>
    <tableColumn id="23" name="XP gain"/>
  </tableColumns>
</table>
</file>

<file path=xl/tables/table23.xml><?xml version="1.0" encoding="utf-8"?>
<table xmlns="http://schemas.openxmlformats.org/spreadsheetml/2006/main" id="23" name="Tabela4" displayName="Tabela4"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4.xml><?xml version="1.0" encoding="utf-8"?>
<table xmlns="http://schemas.openxmlformats.org/spreadsheetml/2006/main" id="24" name="Tabela5" displayName="Tabela5"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5.xml><?xml version="1.0" encoding="utf-8"?>
<table xmlns="http://schemas.openxmlformats.org/spreadsheetml/2006/main" id="25" name="Tabela6" displayName="Tabela6"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6.xml><?xml version="1.0" encoding="utf-8"?>
<table xmlns="http://schemas.openxmlformats.org/spreadsheetml/2006/main" id="26" name="Tabela7" displayName="Tabela7"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7.xml><?xml version="1.0" encoding="utf-8"?>
<table xmlns="http://schemas.openxmlformats.org/spreadsheetml/2006/main" id="27" name="Tabela8" displayName="Tabela8"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8.xml><?xml version="1.0" encoding="utf-8"?>
<table xmlns="http://schemas.openxmlformats.org/spreadsheetml/2006/main" id="28" name="Tabela9" displayName="Tabela9"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worksheets/_rels/sheet1.xml.rels><?xml version="1.0" encoding="UTF-8"?>
<Relationships xmlns="http://schemas.openxmlformats.org/package/2006/relationships"><Relationship Id="rId1" Type="http://schemas.openxmlformats.org/officeDocument/2006/relationships/table" Target="../tables/table21.xml"/>
</Relationships>
</file>

<file path=xl/worksheets/_rels/sheet2.xml.rels><?xml version="1.0" encoding="UTF-8"?>
<Relationships xmlns="http://schemas.openxmlformats.org/package/2006/relationships"><Relationship Id="rId1" Type="http://schemas.openxmlformats.org/officeDocument/2006/relationships/table" Target="../tables/table2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Relationship Id="rId3" Type="http://schemas.openxmlformats.org/officeDocument/2006/relationships/table" Target="../tables/table12.xml"/>
</Relationships>
</file>

<file path=xl/worksheets/_rels/sheet5.xml.rels><?xml version="1.0" encoding="UTF-8"?>
<Relationships xmlns="http://schemas.openxmlformats.org/package/2006/relationships"><Relationship Id="rId1" Type="http://schemas.openxmlformats.org/officeDocument/2006/relationships/table" Target="../tables/table20.xml"/>
</Relationships>
</file>

<file path=xl/worksheets/_rels/sheet6.xml.rels><?xml version="1.0" encoding="UTF-8"?>
<Relationships xmlns="http://schemas.openxmlformats.org/package/2006/relationships"><Relationship Id="rId1" Type="http://schemas.openxmlformats.org/officeDocument/2006/relationships/table" Target="../tables/table23.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Relationship Id="rId3" Type="http://schemas.openxmlformats.org/officeDocument/2006/relationships/table" Target="../tables/table24.xml"/>
</Relationships>
</file>

<file path=xl/worksheets/_rels/sheet8.xml.rels><?xml version="1.0" encoding="UTF-8"?>
<Relationships xmlns="http://schemas.openxmlformats.org/package/2006/relationships"><Relationship Id="rId1" Type="http://schemas.openxmlformats.org/officeDocument/2006/relationships/table" Target="../tables/table2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Relationship Id="rId3" Type="http://schemas.openxmlformats.org/officeDocument/2006/relationships/table" Target="../tables/table26.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Relationship Id="rId3" Type="http://schemas.openxmlformats.org/officeDocument/2006/relationships/table" Target="../tables/table27.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Relationship Id="rId3" Type="http://schemas.openxmlformats.org/officeDocument/2006/relationships/table" Target="../tables/table28.xml"/>
</Relationships>
</file>

<file path=xl/worksheets/_rels/sheet12.xml.rels><?xml version="1.0" encoding="UTF-8"?>
<Relationships xmlns="http://schemas.openxmlformats.org/package/2006/relationships"><Relationship Id="rId1" Type="http://schemas.openxmlformats.org/officeDocument/2006/relationships/table" Target="../tables/table2.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6.vml"/><Relationship Id="rId3" Type="http://schemas.openxmlformats.org/officeDocument/2006/relationships/table" Target="../tables/table6.xml"/>
</Relationships>
</file>

<file path=xl/worksheets/_rels/sheet14.xml.rels><?xml version="1.0" encoding="UTF-8"?>
<Relationships xmlns="http://schemas.openxmlformats.org/package/2006/relationships"><Relationship Id="rId1" Type="http://schemas.openxmlformats.org/officeDocument/2006/relationships/table" Target="../tables/table7.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8.vml"/><Relationship Id="rId3" Type="http://schemas.openxmlformats.org/officeDocument/2006/relationships/table" Target="../tables/table4.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9.vml"/><Relationship Id="rId3"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0.vml"/><Relationship Id="rId3" Type="http://schemas.openxmlformats.org/officeDocument/2006/relationships/table" Target="../tables/table8.xml"/>
</Relationships>
</file>

<file path=xl/worksheets/_rels/sheet19.xml.rels><?xml version="1.0" encoding="UTF-8"?>
<Relationships xmlns="http://schemas.openxmlformats.org/package/2006/relationships"><Relationship Id="rId1" Type="http://schemas.openxmlformats.org/officeDocument/2006/relationships/table" Target="../tables/table9.x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1.vml"/><Relationship Id="rId3" Type="http://schemas.openxmlformats.org/officeDocument/2006/relationships/table" Target="../tables/table10.xml"/>
</Relationships>
</file>

<file path=xl/worksheets/_rels/sheet21.xml.rels><?xml version="1.0" encoding="UTF-8"?>
<Relationships xmlns="http://schemas.openxmlformats.org/package/2006/relationships"><Relationship Id="rId1" Type="http://schemas.openxmlformats.org/officeDocument/2006/relationships/table" Target="../tables/table11.x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2.vml"/><Relationship Id="rId3" Type="http://schemas.openxmlformats.org/officeDocument/2006/relationships/table" Target="../tables/table13.xml"/>
</Relationships>
</file>

<file path=xl/worksheets/_rels/sheet23.xml.rels><?xml version="1.0" encoding="UTF-8"?>
<Relationships xmlns="http://schemas.openxmlformats.org/package/2006/relationships"><Relationship Id="rId1" Type="http://schemas.openxmlformats.org/officeDocument/2006/relationships/table" Target="../tables/table14.xml"/>
</Relationships>
</file>

<file path=xl/worksheets/_rels/sheet24.xml.rels><?xml version="1.0" encoding="UTF-8"?>
<Relationships xmlns="http://schemas.openxmlformats.org/package/2006/relationships"><Relationship Id="rId1" Type="http://schemas.openxmlformats.org/officeDocument/2006/relationships/table" Target="../tables/table15.xml"/>
</Relationships>
</file>

<file path=xl/worksheets/_rels/sheet25.xml.rels><?xml version="1.0" encoding="UTF-8"?>
<Relationships xmlns="http://schemas.openxmlformats.org/package/2006/relationships"><Relationship Id="rId1" Type="http://schemas.openxmlformats.org/officeDocument/2006/relationships/table" Target="../tables/table16.x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13.vml"/><Relationship Id="rId3" Type="http://schemas.openxmlformats.org/officeDocument/2006/relationships/table" Target="../tables/table17.xml"/>
</Relationships>
</file>

<file path=xl/worksheets/_rels/sheet27.xml.rels><?xml version="1.0" encoding="UTF-8"?>
<Relationships xmlns="http://schemas.openxmlformats.org/package/2006/relationships"><Relationship Id="rId1" Type="http://schemas.openxmlformats.org/officeDocument/2006/relationships/table" Target="../tables/table18.xml"/>
</Relationships>
</file>

<file path=xl/worksheets/_rels/sheet28.xml.rels><?xml version="1.0" encoding="UTF-8"?>
<Relationships xmlns="http://schemas.openxmlformats.org/package/2006/relationships"><Relationship Id="rId1" Type="http://schemas.openxmlformats.org/officeDocument/2006/relationships/table" Target="../tables/table1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R14"/>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2" min="2" style="1" width="14"/>
    <col collapsed="false" customWidth="true" hidden="false" outlineLevel="0" max="3" min="3" style="1" width="18.25"/>
    <col collapsed="false" customWidth="true" hidden="false" outlineLevel="0" max="4" min="4" style="1" width="17.63"/>
    <col collapsed="false" customWidth="true" hidden="false" outlineLevel="0" max="5" min="5" style="1" width="16.63"/>
    <col collapsed="false" customWidth="true" hidden="false" outlineLevel="0" max="6" min="6" style="1" width="14.88"/>
    <col collapsed="false" customWidth="true" hidden="false" outlineLevel="0" max="7" min="7" style="1" width="19.25"/>
    <col collapsed="false" customWidth="true" hidden="false" outlineLevel="0" max="8" min="8" style="1" width="17.88"/>
    <col collapsed="false" customWidth="true" hidden="false" outlineLevel="0" max="10" min="10" style="1" width="15.13"/>
    <col collapsed="false" customWidth="true" hidden="false" outlineLevel="0" max="12" min="12" style="1" width="20.75"/>
    <col collapsed="false" customWidth="true" hidden="false" outlineLevel="0" max="16" min="16" style="1" width="15.75"/>
    <col collapsed="false" customWidth="true" hidden="false" outlineLevel="0" max="17" min="17" style="1" width="17.13"/>
  </cols>
  <sheetData>
    <row r="3" customFormat="false" ht="15.75" hidden="false" customHeight="false" outlineLevel="0" collapsed="false">
      <c r="A3" s="2" t="s">
        <v>0</v>
      </c>
    </row>
    <row r="8" customFormat="false" ht="22.5" hidden="false" customHeight="true" outlineLevel="0" collapsed="false">
      <c r="A8" s="3" t="s">
        <v>1</v>
      </c>
      <c r="B8" s="3" t="s">
        <v>2</v>
      </c>
      <c r="C8" s="3" t="s">
        <v>3</v>
      </c>
      <c r="D8" s="3" t="s">
        <v>4</v>
      </c>
      <c r="E8" s="3" t="s">
        <v>5</v>
      </c>
      <c r="F8" s="3" t="s">
        <v>6</v>
      </c>
      <c r="G8" s="3" t="s">
        <v>7</v>
      </c>
      <c r="H8" s="3" t="s">
        <v>8</v>
      </c>
      <c r="I8" s="3" t="s">
        <v>9</v>
      </c>
      <c r="J8" s="3" t="s">
        <v>10</v>
      </c>
      <c r="K8" s="3" t="s">
        <v>11</v>
      </c>
      <c r="L8" s="4" t="s">
        <v>12</v>
      </c>
      <c r="M8" s="3" t="s">
        <v>13</v>
      </c>
      <c r="N8" s="3" t="s">
        <v>14</v>
      </c>
      <c r="O8" s="3" t="s">
        <v>15</v>
      </c>
      <c r="P8" s="3" t="s">
        <v>16</v>
      </c>
      <c r="Q8" s="3" t="s">
        <v>17</v>
      </c>
      <c r="R8" s="3" t="s">
        <v>18</v>
      </c>
    </row>
    <row r="9" customFormat="false" ht="22.5" hidden="false" customHeight="true" outlineLevel="0" collapsed="false">
      <c r="A9" s="5" t="n">
        <v>0</v>
      </c>
      <c r="B9" s="5" t="n">
        <v>5</v>
      </c>
      <c r="C9" s="5" t="n">
        <v>5</v>
      </c>
      <c r="D9" s="5" t="n">
        <v>5</v>
      </c>
      <c r="E9" s="5" t="n">
        <v>5</v>
      </c>
      <c r="F9" s="5" t="n">
        <v>7</v>
      </c>
      <c r="G9" s="5" t="s">
        <v>19</v>
      </c>
      <c r="H9" s="5" t="s">
        <v>20</v>
      </c>
      <c r="I9" s="5" t="n">
        <v>15</v>
      </c>
      <c r="J9" s="5" t="n">
        <v>6</v>
      </c>
      <c r="K9" s="5" t="n">
        <v>7</v>
      </c>
      <c r="L9" s="5" t="n">
        <v>7</v>
      </c>
      <c r="M9" s="5" t="n">
        <v>6</v>
      </c>
      <c r="N9" s="5" t="n">
        <v>7</v>
      </c>
      <c r="O9" s="5" t="n">
        <v>6</v>
      </c>
      <c r="P9" s="5" t="n">
        <v>15</v>
      </c>
      <c r="Q9" s="5" t="n">
        <v>15</v>
      </c>
      <c r="R9" s="5" t="n">
        <v>15</v>
      </c>
    </row>
    <row r="10" customFormat="false" ht="22.5" hidden="false" customHeight="true" outlineLevel="0" collapsed="false">
      <c r="A10" s="5" t="n">
        <v>1</v>
      </c>
      <c r="B10" s="5" t="n">
        <v>6</v>
      </c>
      <c r="C10" s="5" t="n">
        <v>6</v>
      </c>
      <c r="D10" s="5" t="n">
        <v>6</v>
      </c>
      <c r="E10" s="5" t="n">
        <v>6</v>
      </c>
      <c r="F10" s="5" t="n">
        <v>8</v>
      </c>
      <c r="G10" s="5" t="s">
        <v>21</v>
      </c>
      <c r="H10" s="5" t="s">
        <v>22</v>
      </c>
      <c r="I10" s="5" t="n">
        <v>18</v>
      </c>
      <c r="J10" s="5" t="n">
        <v>7</v>
      </c>
      <c r="K10" s="5" t="n">
        <v>8</v>
      </c>
      <c r="L10" s="5" t="n">
        <v>8</v>
      </c>
      <c r="M10" s="5" t="n">
        <v>7</v>
      </c>
      <c r="N10" s="5" t="n">
        <v>8</v>
      </c>
      <c r="O10" s="5" t="n">
        <v>7</v>
      </c>
      <c r="P10" s="5" t="n">
        <v>18</v>
      </c>
      <c r="Q10" s="5" t="n">
        <v>18</v>
      </c>
      <c r="R10" s="5" t="n">
        <v>18</v>
      </c>
    </row>
    <row r="11" customFormat="false" ht="22.5" hidden="false" customHeight="true" outlineLevel="0" collapsed="false">
      <c r="A11" s="5" t="n">
        <v>2</v>
      </c>
      <c r="B11" s="5" t="n">
        <v>7</v>
      </c>
      <c r="C11" s="5" t="n">
        <v>7</v>
      </c>
      <c r="D11" s="5" t="n">
        <v>7</v>
      </c>
      <c r="E11" s="5" t="n">
        <v>7</v>
      </c>
      <c r="F11" s="5" t="n">
        <v>9</v>
      </c>
      <c r="G11" s="5" t="s">
        <v>23</v>
      </c>
      <c r="H11" s="5" t="s">
        <v>24</v>
      </c>
      <c r="I11" s="5" t="n">
        <v>21</v>
      </c>
      <c r="J11" s="5" t="n">
        <v>8</v>
      </c>
      <c r="K11" s="5" t="n">
        <v>9</v>
      </c>
      <c r="L11" s="5" t="n">
        <v>9</v>
      </c>
      <c r="M11" s="5" t="n">
        <v>8</v>
      </c>
      <c r="N11" s="5" t="n">
        <v>9</v>
      </c>
      <c r="O11" s="5" t="n">
        <v>8</v>
      </c>
      <c r="P11" s="5" t="n">
        <v>21</v>
      </c>
      <c r="Q11" s="5" t="n">
        <v>21</v>
      </c>
      <c r="R11" s="5" t="n">
        <v>21</v>
      </c>
    </row>
    <row r="12" customFormat="false" ht="22.5" hidden="false" customHeight="true" outlineLevel="0" collapsed="false">
      <c r="A12" s="5" t="n">
        <v>3</v>
      </c>
      <c r="B12" s="5" t="n">
        <v>8</v>
      </c>
      <c r="C12" s="5" t="n">
        <v>8</v>
      </c>
      <c r="D12" s="5" t="n">
        <v>8</v>
      </c>
      <c r="E12" s="5" t="n">
        <v>8</v>
      </c>
      <c r="F12" s="5" t="n">
        <v>11</v>
      </c>
      <c r="G12" s="5" t="s">
        <v>25</v>
      </c>
      <c r="H12" s="5" t="s">
        <v>26</v>
      </c>
      <c r="I12" s="5" t="n">
        <v>24</v>
      </c>
      <c r="J12" s="5" t="n">
        <v>9</v>
      </c>
      <c r="K12" s="5" t="n">
        <v>11</v>
      </c>
      <c r="L12" s="5" t="n">
        <v>11</v>
      </c>
      <c r="M12" s="5" t="n">
        <v>9</v>
      </c>
      <c r="N12" s="5" t="n">
        <v>11</v>
      </c>
      <c r="O12" s="5" t="n">
        <v>9</v>
      </c>
      <c r="P12" s="5" t="n">
        <v>24</v>
      </c>
      <c r="Q12" s="5" t="n">
        <v>24</v>
      </c>
      <c r="R12" s="5" t="n">
        <v>24</v>
      </c>
    </row>
    <row r="13" customFormat="false" ht="22.5" hidden="false" customHeight="true" outlineLevel="0" collapsed="false">
      <c r="A13" s="5" t="n">
        <v>4</v>
      </c>
      <c r="B13" s="5" t="n">
        <v>9</v>
      </c>
      <c r="C13" s="5" t="n">
        <v>9</v>
      </c>
      <c r="D13" s="5" t="n">
        <v>9</v>
      </c>
      <c r="E13" s="5" t="n">
        <v>9</v>
      </c>
      <c r="F13" s="5" t="n">
        <v>13</v>
      </c>
      <c r="G13" s="5" t="s">
        <v>27</v>
      </c>
      <c r="H13" s="5" t="s">
        <v>28</v>
      </c>
      <c r="I13" s="5" t="n">
        <v>27</v>
      </c>
      <c r="J13" s="5" t="n">
        <v>10</v>
      </c>
      <c r="K13" s="5" t="n">
        <v>13</v>
      </c>
      <c r="L13" s="5" t="n">
        <v>13</v>
      </c>
      <c r="M13" s="5" t="n">
        <v>10</v>
      </c>
      <c r="N13" s="5" t="n">
        <v>13</v>
      </c>
      <c r="O13" s="5" t="n">
        <v>10</v>
      </c>
      <c r="P13" s="5" t="n">
        <v>27</v>
      </c>
      <c r="Q13" s="5" t="n">
        <v>27</v>
      </c>
      <c r="R13" s="5" t="n">
        <v>27</v>
      </c>
    </row>
    <row r="14" customFormat="false" ht="22.5" hidden="false" customHeight="true" outlineLevel="0" collapsed="false">
      <c r="A14" s="5" t="n">
        <v>5</v>
      </c>
      <c r="B14" s="5" t="n">
        <v>10</v>
      </c>
      <c r="C14" s="5" t="n">
        <v>10</v>
      </c>
      <c r="D14" s="5" t="n">
        <v>10</v>
      </c>
      <c r="E14" s="5" t="n">
        <v>10</v>
      </c>
      <c r="F14" s="5" t="n">
        <v>15</v>
      </c>
      <c r="G14" s="5" t="s">
        <v>29</v>
      </c>
      <c r="H14" s="5" t="s">
        <v>30</v>
      </c>
      <c r="I14" s="5" t="n">
        <v>30</v>
      </c>
      <c r="J14" s="5" t="n">
        <v>12</v>
      </c>
      <c r="K14" s="5" t="n">
        <v>15</v>
      </c>
      <c r="L14" s="5" t="n">
        <v>15</v>
      </c>
      <c r="M14" s="5" t="n">
        <v>12</v>
      </c>
      <c r="N14" s="5" t="n">
        <v>15</v>
      </c>
      <c r="O14" s="5" t="n">
        <v>12</v>
      </c>
      <c r="P14" s="5" t="n">
        <v>30</v>
      </c>
      <c r="Q14" s="5" t="n">
        <v>30</v>
      </c>
      <c r="R14" s="5" t="n">
        <v>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W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3" min="2" style="1" width="21.5"/>
    <col collapsed="false" customWidth="true" hidden="false" outlineLevel="0" max="4" min="4" style="1" width="19.13"/>
    <col collapsed="false" customWidth="true" hidden="false" outlineLevel="0" max="8" min="8" style="1" width="18.13"/>
    <col collapsed="false" customWidth="true" hidden="false" outlineLevel="0" max="9" min="9" style="1" width="18.88"/>
    <col collapsed="false" customWidth="true" hidden="false" outlineLevel="0" max="10" min="10" style="1" width="17"/>
    <col collapsed="false" customWidth="true" hidden="false" outlineLevel="0" max="12" min="12" style="1" width="18.13"/>
    <col collapsed="false" customWidth="true" hidden="false" outlineLevel="0" max="13" min="13" style="1" width="16.89"/>
    <col collapsed="false" customWidth="true" hidden="false" outlineLevel="0" max="17" min="17" style="1" width="22.25"/>
    <col collapsed="false" customWidth="true" hidden="false" outlineLevel="0" max="18" min="18" style="1" width="14.75"/>
    <col collapsed="false" customWidth="true" hidden="false" outlineLevel="0" max="22" min="22" style="1" width="15.13"/>
    <col collapsed="false" customWidth="true" hidden="false" outlineLevel="0" max="23" min="23" style="1" width="13.38"/>
  </cols>
  <sheetData>
    <row r="3" customFormat="false" ht="15.75" hidden="false" customHeight="false" outlineLevel="0" collapsed="false">
      <c r="A3" s="2" t="s">
        <v>31</v>
      </c>
    </row>
    <row r="4" customFormat="false" ht="15.75" hidden="false" customHeight="false" outlineLevel="0" collapsed="false">
      <c r="A4" s="2"/>
    </row>
    <row r="8" customFormat="false" ht="22.5" hidden="false" customHeight="true" outlineLevel="0" collapsed="false">
      <c r="A8" s="3" t="s">
        <v>1</v>
      </c>
      <c r="B8" s="4" t="s">
        <v>32</v>
      </c>
      <c r="C8" s="4" t="s">
        <v>33</v>
      </c>
      <c r="D8" s="4" t="s">
        <v>34</v>
      </c>
      <c r="E8" s="4" t="s">
        <v>35</v>
      </c>
      <c r="F8" s="4" t="s">
        <v>36</v>
      </c>
      <c r="G8" s="3" t="s">
        <v>2</v>
      </c>
      <c r="H8" s="3" t="s">
        <v>3</v>
      </c>
      <c r="I8" s="3" t="s">
        <v>4</v>
      </c>
      <c r="J8" s="3" t="s">
        <v>5</v>
      </c>
      <c r="K8" s="3" t="s">
        <v>6</v>
      </c>
      <c r="L8" s="3" t="s">
        <v>7</v>
      </c>
      <c r="M8" s="3" t="s">
        <v>8</v>
      </c>
      <c r="N8" s="3" t="s">
        <v>9</v>
      </c>
      <c r="O8" s="3" t="s">
        <v>10</v>
      </c>
      <c r="P8" s="3" t="s">
        <v>11</v>
      </c>
      <c r="Q8" s="4" t="s">
        <v>12</v>
      </c>
      <c r="R8" s="3" t="s">
        <v>13</v>
      </c>
      <c r="S8" s="3" t="s">
        <v>14</v>
      </c>
      <c r="T8" s="3" t="s">
        <v>15</v>
      </c>
      <c r="U8" s="3" t="s">
        <v>16</v>
      </c>
      <c r="V8" s="3" t="s">
        <v>17</v>
      </c>
      <c r="W8" s="3" t="s">
        <v>18</v>
      </c>
    </row>
    <row r="9" customFormat="false" ht="22.5" hidden="false" customHeight="true" outlineLevel="0" collapsed="false">
      <c r="A9" s="5" t="n">
        <v>0</v>
      </c>
      <c r="B9" s="5" t="n">
        <v>1</v>
      </c>
      <c r="C9" s="5" t="n">
        <v>4</v>
      </c>
      <c r="D9" s="5" t="s">
        <v>37</v>
      </c>
      <c r="E9" s="5" t="n">
        <v>1</v>
      </c>
      <c r="F9" s="5" t="s">
        <v>38</v>
      </c>
      <c r="G9" s="5" t="n">
        <v>8</v>
      </c>
      <c r="H9" s="5" t="n">
        <v>8</v>
      </c>
      <c r="I9" s="5" t="n">
        <v>8</v>
      </c>
      <c r="J9" s="5" t="n">
        <v>8</v>
      </c>
      <c r="K9" s="5" t="n">
        <v>12</v>
      </c>
      <c r="L9" s="5" t="s">
        <v>27</v>
      </c>
      <c r="M9" s="5" t="s">
        <v>39</v>
      </c>
      <c r="N9" s="5" t="n">
        <v>25</v>
      </c>
      <c r="O9" s="5" t="n">
        <v>10</v>
      </c>
      <c r="P9" s="5" t="n">
        <v>12</v>
      </c>
      <c r="Q9" s="5" t="n">
        <v>11</v>
      </c>
      <c r="R9" s="5" t="n">
        <v>9</v>
      </c>
      <c r="S9" s="5" t="n">
        <v>11</v>
      </c>
      <c r="T9" s="5" t="n">
        <v>9</v>
      </c>
      <c r="U9" s="5" t="n">
        <v>25</v>
      </c>
      <c r="V9" s="5" t="n">
        <v>25</v>
      </c>
      <c r="W9" s="5" t="n">
        <v>25</v>
      </c>
    </row>
    <row r="10" customFormat="false" ht="22.5" hidden="false" customHeight="true" outlineLevel="0" collapsed="false">
      <c r="A10" s="5" t="n">
        <v>1</v>
      </c>
      <c r="B10" s="5" t="n">
        <v>1</v>
      </c>
      <c r="C10" s="5" t="n">
        <v>4</v>
      </c>
      <c r="D10" s="5" t="s">
        <v>40</v>
      </c>
      <c r="E10" s="5" t="n">
        <v>1</v>
      </c>
      <c r="F10" s="5" t="s">
        <v>41</v>
      </c>
      <c r="G10" s="5" t="n">
        <v>9</v>
      </c>
      <c r="H10" s="5" t="n">
        <v>9</v>
      </c>
      <c r="I10" s="5" t="n">
        <v>9</v>
      </c>
      <c r="J10" s="5" t="n">
        <v>9</v>
      </c>
      <c r="K10" s="5" t="n">
        <v>14</v>
      </c>
      <c r="L10" s="5" t="s">
        <v>29</v>
      </c>
      <c r="M10" s="5" t="s">
        <v>42</v>
      </c>
      <c r="N10" s="5" t="n">
        <v>30</v>
      </c>
      <c r="O10" s="5" t="n">
        <v>12</v>
      </c>
      <c r="P10" s="5" t="n">
        <v>14</v>
      </c>
      <c r="Q10" s="5" t="n">
        <v>13</v>
      </c>
      <c r="R10" s="5" t="n">
        <v>10</v>
      </c>
      <c r="S10" s="5" t="n">
        <v>13</v>
      </c>
      <c r="T10" s="5" t="n">
        <v>10</v>
      </c>
      <c r="U10" s="5" t="n">
        <v>30</v>
      </c>
      <c r="V10" s="5" t="n">
        <v>30</v>
      </c>
      <c r="W10" s="5" t="n">
        <v>30</v>
      </c>
    </row>
    <row r="11" customFormat="false" ht="22.5" hidden="false" customHeight="true" outlineLevel="0" collapsed="false">
      <c r="A11" s="5" t="n">
        <v>2</v>
      </c>
      <c r="B11" s="5" t="n">
        <v>1</v>
      </c>
      <c r="C11" s="5" t="n">
        <v>5</v>
      </c>
      <c r="D11" s="5" t="s">
        <v>43</v>
      </c>
      <c r="E11" s="5" t="n">
        <v>1</v>
      </c>
      <c r="F11" s="5" t="s">
        <v>44</v>
      </c>
      <c r="G11" s="5" t="n">
        <v>10</v>
      </c>
      <c r="H11" s="5" t="n">
        <v>10</v>
      </c>
      <c r="I11" s="5" t="n">
        <v>10</v>
      </c>
      <c r="J11" s="5" t="n">
        <v>10</v>
      </c>
      <c r="K11" s="5" t="n">
        <v>16</v>
      </c>
      <c r="L11" s="5" t="s">
        <v>45</v>
      </c>
      <c r="M11" s="5" t="s">
        <v>46</v>
      </c>
      <c r="N11" s="5" t="n">
        <v>35</v>
      </c>
      <c r="O11" s="5" t="n">
        <v>14</v>
      </c>
      <c r="P11" s="5" t="n">
        <v>16</v>
      </c>
      <c r="Q11" s="5" t="n">
        <v>15</v>
      </c>
      <c r="R11" s="5" t="n">
        <v>12</v>
      </c>
      <c r="S11" s="5" t="n">
        <v>15</v>
      </c>
      <c r="T11" s="5" t="n">
        <v>12</v>
      </c>
      <c r="U11" s="5" t="n">
        <v>35</v>
      </c>
      <c r="V11" s="5" t="n">
        <v>35</v>
      </c>
      <c r="W11" s="5" t="n">
        <v>35</v>
      </c>
    </row>
    <row r="12" customFormat="false" ht="22.5" hidden="false" customHeight="true" outlineLevel="0" collapsed="false">
      <c r="A12" s="5" t="n">
        <v>3</v>
      </c>
      <c r="B12" s="5" t="n">
        <v>2</v>
      </c>
      <c r="C12" s="5" t="n">
        <v>6</v>
      </c>
      <c r="D12" s="5" t="s">
        <v>47</v>
      </c>
      <c r="E12" s="5" t="n">
        <v>2</v>
      </c>
      <c r="F12" s="5" t="s">
        <v>48</v>
      </c>
      <c r="G12" s="5" t="n">
        <v>12</v>
      </c>
      <c r="H12" s="5" t="n">
        <v>12</v>
      </c>
      <c r="I12" s="5" t="n">
        <v>12</v>
      </c>
      <c r="J12" s="5" t="n">
        <v>12</v>
      </c>
      <c r="K12" s="5" t="n">
        <v>18</v>
      </c>
      <c r="L12" s="5" t="s">
        <v>49</v>
      </c>
      <c r="M12" s="5" t="s">
        <v>50</v>
      </c>
      <c r="N12" s="5" t="n">
        <v>40</v>
      </c>
      <c r="O12" s="5" t="n">
        <v>16</v>
      </c>
      <c r="P12" s="5" t="n">
        <v>18</v>
      </c>
      <c r="Q12" s="5" t="n">
        <v>17</v>
      </c>
      <c r="R12" s="5" t="n">
        <v>14</v>
      </c>
      <c r="S12" s="5" t="n">
        <v>17</v>
      </c>
      <c r="T12" s="5" t="n">
        <v>14</v>
      </c>
      <c r="U12" s="5" t="n">
        <v>40</v>
      </c>
      <c r="V12" s="5" t="n">
        <v>40</v>
      </c>
      <c r="W12" s="5" t="n">
        <v>40</v>
      </c>
    </row>
    <row r="13" customFormat="false" ht="22.5" hidden="false" customHeight="true" outlineLevel="0" collapsed="false">
      <c r="A13" s="5" t="n">
        <v>4</v>
      </c>
      <c r="B13" s="5" t="n">
        <v>2</v>
      </c>
      <c r="C13" s="5" t="n">
        <v>7</v>
      </c>
      <c r="D13" s="5" t="s">
        <v>51</v>
      </c>
      <c r="E13" s="5" t="n">
        <v>2</v>
      </c>
      <c r="F13" s="5" t="s">
        <v>52</v>
      </c>
      <c r="G13" s="5" t="n">
        <v>14</v>
      </c>
      <c r="H13" s="5" t="n">
        <v>14</v>
      </c>
      <c r="I13" s="5" t="n">
        <v>14</v>
      </c>
      <c r="J13" s="5" t="n">
        <v>14</v>
      </c>
      <c r="K13" s="5" t="n">
        <v>21</v>
      </c>
      <c r="L13" s="5" t="s">
        <v>53</v>
      </c>
      <c r="M13" s="5" t="s">
        <v>54</v>
      </c>
      <c r="N13" s="5" t="n">
        <v>45</v>
      </c>
      <c r="O13" s="5" t="n">
        <v>18</v>
      </c>
      <c r="P13" s="5" t="n">
        <v>21</v>
      </c>
      <c r="Q13" s="5" t="n">
        <v>19</v>
      </c>
      <c r="R13" s="5" t="n">
        <v>16</v>
      </c>
      <c r="S13" s="5" t="n">
        <v>19</v>
      </c>
      <c r="T13" s="5" t="n">
        <v>16</v>
      </c>
      <c r="U13" s="5" t="n">
        <v>45</v>
      </c>
      <c r="V13" s="5" t="n">
        <v>45</v>
      </c>
      <c r="W13" s="5" t="n">
        <v>45</v>
      </c>
    </row>
    <row r="14" customFormat="false" ht="22.5" hidden="false" customHeight="true" outlineLevel="0" collapsed="false">
      <c r="A14" s="5" t="n">
        <v>5</v>
      </c>
      <c r="B14" s="5" t="n">
        <v>2</v>
      </c>
      <c r="C14" s="5" t="n">
        <v>8</v>
      </c>
      <c r="D14" s="5" t="s">
        <v>55</v>
      </c>
      <c r="E14" s="5" t="n">
        <v>2</v>
      </c>
      <c r="F14" s="5" t="s">
        <v>56</v>
      </c>
      <c r="G14" s="5" t="n">
        <v>16</v>
      </c>
      <c r="H14" s="5" t="n">
        <v>16</v>
      </c>
      <c r="I14" s="5" t="n">
        <v>16</v>
      </c>
      <c r="J14" s="5" t="n">
        <v>16</v>
      </c>
      <c r="K14" s="5" t="n">
        <v>24</v>
      </c>
      <c r="L14" s="5" t="s">
        <v>57</v>
      </c>
      <c r="M14" s="5" t="s">
        <v>58</v>
      </c>
      <c r="N14" s="5" t="n">
        <v>50</v>
      </c>
      <c r="O14" s="5" t="n">
        <v>20</v>
      </c>
      <c r="P14" s="5" t="n">
        <v>24</v>
      </c>
      <c r="Q14" s="5" t="n">
        <v>22</v>
      </c>
      <c r="R14" s="5" t="n">
        <v>18</v>
      </c>
      <c r="S14" s="5" t="n">
        <v>22</v>
      </c>
      <c r="T14" s="5" t="n">
        <v>18</v>
      </c>
      <c r="U14" s="5" t="n">
        <v>50</v>
      </c>
      <c r="V14" s="5" t="n">
        <v>50</v>
      </c>
      <c r="W14" s="5" t="n">
        <v>50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6" min="9" style="1" width="2.75"/>
    <col collapsed="false" customWidth="true" hidden="false" outlineLevel="0" max="17" min="17" style="1" width="2.25"/>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13.5" hidden="false" customHeight="true" outlineLevel="0" collapsed="false">
      <c r="A6" s="7" t="n">
        <v>-1</v>
      </c>
      <c r="B6" s="7" t="n">
        <v>61</v>
      </c>
      <c r="C6" s="7" t="n">
        <v>75</v>
      </c>
      <c r="D6" s="7" t="n">
        <f aca="false">AVERAGE(B6:C6)</f>
        <v>68</v>
      </c>
      <c r="E6" s="7" t="n">
        <f aca="false">ROUND(F6*H6,0)</f>
        <v>65</v>
      </c>
      <c r="F6" s="7" t="n">
        <f aca="false">ROUND(F7 * 0.9,0)</f>
        <v>81</v>
      </c>
      <c r="G6" s="7" t="n">
        <f aca="false">AVERAGE(E6:F6)</f>
        <v>73</v>
      </c>
      <c r="H6" s="7" t="n">
        <v>0.8</v>
      </c>
    </row>
    <row r="7" customFormat="false" ht="13.5" hidden="false" customHeight="true" outlineLevel="0" collapsed="false">
      <c r="A7" s="7" t="n">
        <v>0</v>
      </c>
      <c r="B7" s="7" t="n">
        <v>65</v>
      </c>
      <c r="C7" s="7" t="n">
        <v>80</v>
      </c>
      <c r="D7" s="7" t="n">
        <f aca="false">AVERAGE(B7:C7)</f>
        <v>72.5</v>
      </c>
      <c r="E7" s="7" t="n">
        <f aca="false">ROUND(F7*H7,0)</f>
        <v>72</v>
      </c>
      <c r="F7" s="7" t="n">
        <v>90</v>
      </c>
      <c r="G7" s="7" t="n">
        <f aca="false">AVERAGE(E7:F7)</f>
        <v>81</v>
      </c>
      <c r="H7" s="7" t="n">
        <v>0.8</v>
      </c>
    </row>
    <row r="8" customFormat="false" ht="13.5" hidden="false" customHeight="true" outlineLevel="0" collapsed="false">
      <c r="A8" s="7" t="n">
        <v>1</v>
      </c>
      <c r="B8" s="7" t="n">
        <v>73</v>
      </c>
      <c r="C8" s="7" t="n">
        <v>90</v>
      </c>
      <c r="D8" s="7" t="n">
        <f aca="false">AVERAGE(B8:C8)</f>
        <v>81.5</v>
      </c>
      <c r="E8" s="7" t="n">
        <f aca="false">ROUND(F8*H8,0)</f>
        <v>79</v>
      </c>
      <c r="F8" s="7" t="n">
        <f aca="false">ROUND(F7*1.1,0)</f>
        <v>99</v>
      </c>
      <c r="G8" s="7" t="n">
        <f aca="false">AVERAGE(E8:F8)</f>
        <v>89</v>
      </c>
      <c r="H8" s="7" t="n">
        <v>0.8</v>
      </c>
      <c r="I8" s="8"/>
      <c r="J8" s="2"/>
    </row>
    <row r="9" customFormat="false" ht="13.5" hidden="false" customHeight="true" outlineLevel="0" collapsed="false">
      <c r="A9" s="7" t="n">
        <v>2</v>
      </c>
      <c r="B9" s="7" t="n">
        <v>82</v>
      </c>
      <c r="C9" s="7" t="n">
        <v>101</v>
      </c>
      <c r="D9" s="7" t="n">
        <f aca="false">AVERAGE(B9:C9)</f>
        <v>91.5</v>
      </c>
      <c r="E9" s="7" t="n">
        <f aca="false">ROUND(F9*H9,0)</f>
        <v>87</v>
      </c>
      <c r="F9" s="7" t="n">
        <f aca="false">ROUND(F8*1.1,0)</f>
        <v>109</v>
      </c>
      <c r="G9" s="7" t="n">
        <f aca="false">AVERAGE(E9:F9)</f>
        <v>98</v>
      </c>
      <c r="H9" s="7" t="n">
        <v>0.8</v>
      </c>
      <c r="I9" s="2"/>
    </row>
    <row r="10" customFormat="false" ht="13.5" hidden="false" customHeight="true" outlineLevel="0" collapsed="false">
      <c r="A10" s="7" t="n">
        <v>3</v>
      </c>
      <c r="B10" s="7" t="n">
        <v>92</v>
      </c>
      <c r="C10" s="7" t="n">
        <v>113</v>
      </c>
      <c r="D10" s="7" t="n">
        <f aca="false">AVERAGE(B10:C10)</f>
        <v>102.5</v>
      </c>
      <c r="E10" s="7" t="n">
        <f aca="false">ROUND(F10*H10,0)</f>
        <v>96</v>
      </c>
      <c r="F10" s="7" t="n">
        <f aca="false">ROUND(F9*1.1,0)</f>
        <v>120</v>
      </c>
      <c r="G10" s="7" t="n">
        <f aca="false">AVERAGE(E10:F10)</f>
        <v>108</v>
      </c>
      <c r="H10" s="7" t="n">
        <v>0.8</v>
      </c>
    </row>
    <row r="11" customFormat="false" ht="13.5" hidden="false" customHeight="true" outlineLevel="0" collapsed="false">
      <c r="A11" s="7" t="n">
        <v>4</v>
      </c>
      <c r="B11" s="7" t="n">
        <v>103</v>
      </c>
      <c r="C11" s="7" t="n">
        <v>127</v>
      </c>
      <c r="D11" s="7" t="n">
        <f aca="false">AVERAGE(B11:C11)</f>
        <v>115</v>
      </c>
      <c r="E11" s="7" t="n">
        <f aca="false">ROUND(F11*H11,0)</f>
        <v>106</v>
      </c>
      <c r="F11" s="7" t="n">
        <f aca="false">ROUND(F10*1.1,0)</f>
        <v>132</v>
      </c>
      <c r="G11" s="7" t="n">
        <f aca="false">AVERAGE(E11:F11)</f>
        <v>119</v>
      </c>
      <c r="H11" s="7" t="n">
        <v>0.8</v>
      </c>
      <c r="I11" s="9"/>
      <c r="J11" s="9"/>
      <c r="K11" s="9"/>
      <c r="L11" s="9"/>
      <c r="M11" s="9"/>
    </row>
    <row r="12" customFormat="false" ht="13.5" hidden="false" customHeight="true" outlineLevel="0" collapsed="false">
      <c r="A12" s="7" t="n">
        <v>5</v>
      </c>
      <c r="B12" s="7" t="n">
        <v>115</v>
      </c>
      <c r="C12" s="7" t="n">
        <v>142</v>
      </c>
      <c r="D12" s="7" t="n">
        <f aca="false">AVERAGE(B12:C12)</f>
        <v>128.5</v>
      </c>
      <c r="E12" s="7" t="n">
        <f aca="false">ROUND(F12*H12,0)</f>
        <v>116</v>
      </c>
      <c r="F12" s="7" t="n">
        <f aca="false">ROUND(F11*1.1,0)</f>
        <v>145</v>
      </c>
      <c r="G12" s="7" t="n">
        <f aca="false">AVERAGE(E12:F12)</f>
        <v>130.5</v>
      </c>
      <c r="H12" s="7" t="n">
        <v>0.8</v>
      </c>
    </row>
    <row r="13" customFormat="false" ht="15.75" hidden="false" customHeight="false" outlineLevel="0" collapsed="false">
      <c r="K13" s="10"/>
    </row>
    <row r="14" customFormat="false" ht="15.75" hidden="false" customHeight="false" outlineLevel="0" collapsed="false">
      <c r="K14" s="10"/>
    </row>
    <row r="15" customFormat="false" ht="15.75" hidden="false" customHeight="false" outlineLevel="0" collapsed="false">
      <c r="A15" s="6" t="s">
        <v>68</v>
      </c>
      <c r="B15" s="6"/>
      <c r="C15" s="6"/>
      <c r="K15" s="10"/>
    </row>
    <row r="16" customFormat="false" ht="15.75" hidden="false" customHeight="false" outlineLevel="0" collapsed="false">
      <c r="A16" s="6" t="s">
        <v>69</v>
      </c>
      <c r="B16" s="6" t="s">
        <v>70</v>
      </c>
      <c r="C16" s="6" t="s">
        <v>71</v>
      </c>
      <c r="K16" s="10"/>
    </row>
    <row r="17" customFormat="false" ht="15.75" hidden="false" customHeight="false" outlineLevel="0" collapsed="false">
      <c r="A17" s="6" t="s">
        <v>72</v>
      </c>
      <c r="B17" s="11" t="s">
        <v>73</v>
      </c>
      <c r="C17" s="11" t="s">
        <v>74</v>
      </c>
      <c r="K17" s="10"/>
    </row>
    <row r="18" customFormat="false" ht="15.75" hidden="false" customHeight="false" outlineLevel="0" collapsed="false">
      <c r="K18" s="10"/>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2" t="s">
        <v>2</v>
      </c>
      <c r="B22" s="2" t="s">
        <v>3</v>
      </c>
      <c r="C22" s="2" t="s">
        <v>35</v>
      </c>
      <c r="D22" s="2" t="s">
        <v>80</v>
      </c>
    </row>
  </sheetData>
  <mergeCells count="3">
    <mergeCell ref="B3:G3"/>
    <mergeCell ref="I11:M11"/>
    <mergeCell ref="A15:C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P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2" min="1" style="1" width="20.51"/>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0" min="10" style="1" width="28.88"/>
    <col collapsed="false" customWidth="true" hidden="false" outlineLevel="0" max="11" min="11" style="1" width="16.25"/>
    <col collapsed="false" customWidth="true" hidden="false" outlineLevel="0" max="12" min="12" style="1" width="2.75"/>
    <col collapsed="false" customWidth="true" hidden="false" outlineLevel="0" max="13" min="13" style="1" width="2.5"/>
    <col collapsed="false" customWidth="true" hidden="false" outlineLevel="0" max="14" min="14" style="1" width="2.63"/>
    <col collapsed="false" customWidth="true" hidden="false" outlineLevel="0" max="16" min="15" style="1" width="3.13"/>
  </cols>
  <sheetData>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117</v>
      </c>
      <c r="C6" s="7" t="n">
        <v>136</v>
      </c>
      <c r="D6" s="7" t="n">
        <f aca="false">AVERAGE(B6:C6)</f>
        <v>126.5</v>
      </c>
      <c r="E6" s="7" t="n">
        <f aca="false">ROUND(F6*H6,0)</f>
        <v>115</v>
      </c>
      <c r="F6" s="7" t="n">
        <f aca="false">ROUND(F7 * 0.9,0)</f>
        <v>144</v>
      </c>
      <c r="G6" s="7" t="n">
        <f aca="false">AVERAGE(E6:F6)</f>
        <v>129.5</v>
      </c>
      <c r="H6" s="7" t="n">
        <v>0.8</v>
      </c>
    </row>
    <row r="7" customFormat="false" ht="22.5" hidden="false" customHeight="true" outlineLevel="0" collapsed="false">
      <c r="A7" s="7" t="n">
        <v>0</v>
      </c>
      <c r="B7" s="7" t="n">
        <v>124</v>
      </c>
      <c r="C7" s="7" t="n">
        <v>144</v>
      </c>
      <c r="D7" s="7" t="n">
        <f aca="false">AVERAGE(B7:C7)</f>
        <v>134</v>
      </c>
      <c r="E7" s="7" t="n">
        <f aca="false">ROUND(F7*H7,0)</f>
        <v>128</v>
      </c>
      <c r="F7" s="7" t="n">
        <v>160</v>
      </c>
      <c r="G7" s="7" t="n">
        <f aca="false">AVERAGE(E7:F7)</f>
        <v>144</v>
      </c>
      <c r="H7" s="7" t="n">
        <v>0.8</v>
      </c>
    </row>
    <row r="8" customFormat="false" ht="22.5" hidden="false" customHeight="true" outlineLevel="0" collapsed="false">
      <c r="A8" s="7" t="n">
        <v>1</v>
      </c>
      <c r="B8" s="7" t="n">
        <v>139</v>
      </c>
      <c r="C8" s="7" t="n">
        <v>161</v>
      </c>
      <c r="D8" s="7" t="n">
        <f aca="false">AVERAGE(B8:C8)</f>
        <v>150</v>
      </c>
      <c r="E8" s="7" t="n">
        <f aca="false">ROUND(F8*H8,0)</f>
        <v>141</v>
      </c>
      <c r="F8" s="7" t="n">
        <f aca="false">ROUND(F7*1.1,0)</f>
        <v>176</v>
      </c>
      <c r="G8" s="7" t="n">
        <f aca="false">AVERAGE(E8:F8)</f>
        <v>158.5</v>
      </c>
      <c r="H8" s="7" t="n">
        <v>0.8</v>
      </c>
      <c r="K8" s="8"/>
      <c r="L8" s="2"/>
    </row>
    <row r="9" customFormat="false" ht="22.5" hidden="false" customHeight="true" outlineLevel="0" collapsed="false">
      <c r="A9" s="7" t="n">
        <v>2</v>
      </c>
      <c r="B9" s="7" t="n">
        <v>156</v>
      </c>
      <c r="C9" s="7" t="n">
        <v>180</v>
      </c>
      <c r="D9" s="7" t="n">
        <f aca="false">AVERAGE(B9:C9)</f>
        <v>168</v>
      </c>
      <c r="E9" s="7" t="n">
        <f aca="false">ROUND(F9*H9,0)</f>
        <v>155</v>
      </c>
      <c r="F9" s="7" t="n">
        <f aca="false">ROUND(F8*1.1,0)</f>
        <v>194</v>
      </c>
      <c r="G9" s="7" t="n">
        <f aca="false">AVERAGE(E9:F9)</f>
        <v>174.5</v>
      </c>
      <c r="H9" s="7" t="n">
        <v>0.8</v>
      </c>
      <c r="K9" s="8"/>
    </row>
    <row r="10" customFormat="false" ht="16.5" hidden="false" customHeight="true" outlineLevel="0" collapsed="false">
      <c r="A10" s="7" t="n">
        <v>3</v>
      </c>
      <c r="B10" s="7" t="n">
        <v>175</v>
      </c>
      <c r="C10" s="7" t="n">
        <v>202</v>
      </c>
      <c r="D10" s="7" t="n">
        <f aca="false">AVERAGE(B10:C10)</f>
        <v>188.5</v>
      </c>
      <c r="E10" s="7" t="n">
        <f aca="false">ROUND(F10*H10,0)</f>
        <v>170</v>
      </c>
      <c r="F10" s="7" t="n">
        <f aca="false">ROUND(F9*1.1,0)</f>
        <v>213</v>
      </c>
      <c r="G10" s="7" t="n">
        <f aca="false">AVERAGE(E10:F10)</f>
        <v>191.5</v>
      </c>
      <c r="H10" s="7" t="n">
        <v>0.8</v>
      </c>
      <c r="K10" s="12"/>
      <c r="L10" s="9"/>
      <c r="M10" s="9"/>
      <c r="N10" s="9"/>
      <c r="O10" s="9"/>
      <c r="P10" s="9"/>
    </row>
    <row r="11" customFormat="false" ht="22.5" hidden="false" customHeight="true" outlineLevel="0" collapsed="false">
      <c r="A11" s="7" t="n">
        <v>4</v>
      </c>
      <c r="B11" s="7" t="n">
        <v>196</v>
      </c>
      <c r="C11" s="7" t="n">
        <v>226</v>
      </c>
      <c r="D11" s="7" t="n">
        <f aca="false">AVERAGE(B11:C11)</f>
        <v>211</v>
      </c>
      <c r="E11" s="7" t="n">
        <f aca="false">ROUND(F11*H11,0)</f>
        <v>187</v>
      </c>
      <c r="F11" s="7" t="n">
        <f aca="false">ROUND(F10*1.1,0)</f>
        <v>234</v>
      </c>
      <c r="G11" s="7" t="n">
        <f aca="false">AVERAGE(E11:F11)</f>
        <v>210.5</v>
      </c>
      <c r="H11" s="7" t="n">
        <v>0.8</v>
      </c>
    </row>
    <row r="12" customFormat="false" ht="22.5" hidden="false" customHeight="true" outlineLevel="0" collapsed="false">
      <c r="A12" s="7" t="n">
        <v>5</v>
      </c>
      <c r="B12" s="7" t="n">
        <v>220</v>
      </c>
      <c r="C12" s="7" t="n">
        <v>253</v>
      </c>
      <c r="D12" s="7" t="n">
        <f aca="false">AVERAGE(B12:C12)</f>
        <v>236.5</v>
      </c>
      <c r="E12" s="7" t="n">
        <f aca="false">ROUND(F12*H12,0)</f>
        <v>206</v>
      </c>
      <c r="F12" s="7" t="n">
        <f aca="false">ROUND(F11*1.1,0)</f>
        <v>257</v>
      </c>
      <c r="G12" s="7" t="n">
        <f aca="false">AVERAGE(E12:F12)</f>
        <v>231.5</v>
      </c>
      <c r="H12" s="7" t="n">
        <v>0.8</v>
      </c>
      <c r="M12" s="10"/>
      <c r="N12" s="10"/>
      <c r="O12" s="10"/>
    </row>
    <row r="13" customFormat="false" ht="15.75" hidden="false" customHeight="false" outlineLevel="0" collapsed="false">
      <c r="M13" s="10"/>
      <c r="N13" s="10"/>
      <c r="O13" s="10"/>
    </row>
    <row r="14" customFormat="false" ht="15.75" hidden="false" customHeight="false" outlineLevel="0" collapsed="false">
      <c r="M14" s="10"/>
      <c r="N14" s="10"/>
      <c r="O14" s="10"/>
    </row>
    <row r="16" customFormat="false" ht="15.75" hidden="false" customHeight="false" outlineLevel="0" collapsed="false">
      <c r="A16" s="6" t="s">
        <v>68</v>
      </c>
      <c r="B16" s="6"/>
      <c r="C16" s="6"/>
    </row>
    <row r="17" customFormat="false" ht="15.75" hidden="false" customHeight="false" outlineLevel="0" collapsed="false">
      <c r="A17" s="6" t="s">
        <v>69</v>
      </c>
      <c r="B17" s="6" t="s">
        <v>70</v>
      </c>
      <c r="C17" s="6" t="s">
        <v>71</v>
      </c>
    </row>
    <row r="18" customFormat="false" ht="15.75" hidden="false" customHeight="false" outlineLevel="0" collapsed="false">
      <c r="A18" s="13" t="s">
        <v>81</v>
      </c>
      <c r="B18" s="14" t="s">
        <v>82</v>
      </c>
      <c r="C18" s="11" t="s">
        <v>83</v>
      </c>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2" t="s">
        <v>6</v>
      </c>
      <c r="B22" s="2" t="s">
        <v>18</v>
      </c>
      <c r="C22" s="2" t="s">
        <v>14</v>
      </c>
      <c r="D22" s="2" t="s">
        <v>10</v>
      </c>
    </row>
  </sheetData>
  <mergeCells count="3">
    <mergeCell ref="B3:G3"/>
    <mergeCell ref="L10:P10"/>
    <mergeCell ref="A16:C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2.88"/>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4.52"/>
    <col collapsed="false" customWidth="true" hidden="false" outlineLevel="0" max="14" min="10" style="1" width="2.88"/>
    <col collapsed="false" customWidth="true" hidden="false" outlineLevel="0" max="18" min="15" style="1" width="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66</v>
      </c>
      <c r="C6" s="7" t="n">
        <v>98</v>
      </c>
      <c r="D6" s="7" t="n">
        <f aca="false">AVERAGE(B6:C6)</f>
        <v>82</v>
      </c>
      <c r="E6" s="7" t="n">
        <f aca="false">ROUND(F6*H6,0)</f>
        <v>64</v>
      </c>
      <c r="F6" s="7" t="n">
        <f aca="false">ROUND(F7 * 0.9,0)</f>
        <v>99</v>
      </c>
      <c r="G6" s="7" t="n">
        <f aca="false">AVERAGE(E6:F6)</f>
        <v>81.5</v>
      </c>
      <c r="H6" s="7" t="n">
        <v>0.65</v>
      </c>
    </row>
    <row r="7" customFormat="false" ht="22.5" hidden="false" customHeight="true" outlineLevel="0" collapsed="false">
      <c r="A7" s="7" t="n">
        <v>0</v>
      </c>
      <c r="B7" s="7" t="n">
        <v>69</v>
      </c>
      <c r="C7" s="7" t="n">
        <v>105</v>
      </c>
      <c r="D7" s="7" t="n">
        <f aca="false">AVERAGE(B7:C7)</f>
        <v>87</v>
      </c>
      <c r="E7" s="7" t="n">
        <f aca="false">ROUND(F7*H7,0)</f>
        <v>72</v>
      </c>
      <c r="F7" s="7" t="n">
        <v>110</v>
      </c>
      <c r="G7" s="7" t="n">
        <f aca="false">AVERAGE(E7:F7)</f>
        <v>91</v>
      </c>
      <c r="H7" s="7" t="n">
        <v>0.65</v>
      </c>
    </row>
    <row r="8" customFormat="false" ht="22.5" hidden="false" customHeight="true" outlineLevel="0" collapsed="false">
      <c r="A8" s="7" t="n">
        <v>1</v>
      </c>
      <c r="B8" s="7" t="n">
        <v>75</v>
      </c>
      <c r="C8" s="7" t="n">
        <v>120</v>
      </c>
      <c r="D8" s="7" t="n">
        <f aca="false">AVERAGE(B8:C8)</f>
        <v>97.5</v>
      </c>
      <c r="E8" s="7" t="n">
        <f aca="false">ROUND(F8*H8,0)</f>
        <v>79</v>
      </c>
      <c r="F8" s="7" t="n">
        <f aca="false">ROUND(F7*1.1,0)</f>
        <v>121</v>
      </c>
      <c r="G8" s="7" t="n">
        <f aca="false">AVERAGE(E8:F8)</f>
        <v>100</v>
      </c>
      <c r="H8" s="7" t="n">
        <v>0.65</v>
      </c>
    </row>
    <row r="9" customFormat="false" ht="15" hidden="false" customHeight="true" outlineLevel="0" collapsed="false">
      <c r="A9" s="7" t="n">
        <v>2</v>
      </c>
      <c r="B9" s="7" t="n">
        <v>81</v>
      </c>
      <c r="C9" s="7" t="n">
        <v>137</v>
      </c>
      <c r="D9" s="7" t="n">
        <f aca="false">AVERAGE(B9:C9)</f>
        <v>109</v>
      </c>
      <c r="E9" s="7" t="n">
        <f aca="false">ROUND(F9*H9,0)</f>
        <v>86</v>
      </c>
      <c r="F9" s="7" t="n">
        <f aca="false">ROUND(F8*1.1,0)</f>
        <v>133</v>
      </c>
      <c r="G9" s="7" t="n">
        <f aca="false">AVERAGE(E9:F9)</f>
        <v>109.5</v>
      </c>
      <c r="H9" s="7" t="n">
        <v>0.65</v>
      </c>
      <c r="J9" s="2"/>
    </row>
    <row r="10" customFormat="false" ht="22.5" hidden="false" customHeight="true" outlineLevel="0" collapsed="false">
      <c r="A10" s="7" t="n">
        <v>3</v>
      </c>
      <c r="B10" s="7" t="n">
        <v>87</v>
      </c>
      <c r="C10" s="7" t="n">
        <v>156</v>
      </c>
      <c r="D10" s="7" t="n">
        <f aca="false">AVERAGE(B10:C10)</f>
        <v>121.5</v>
      </c>
      <c r="E10" s="7" t="n">
        <f aca="false">ROUND(F10*H10,0)</f>
        <v>95</v>
      </c>
      <c r="F10" s="7" t="n">
        <f aca="false">ROUND(F9*1.1,0)</f>
        <v>146</v>
      </c>
      <c r="G10" s="7" t="n">
        <f aca="false">AVERAGE(E10:F10)</f>
        <v>120.5</v>
      </c>
      <c r="H10" s="7" t="n">
        <v>0.65</v>
      </c>
    </row>
    <row r="11" customFormat="false" ht="15" hidden="false" customHeight="true" outlineLevel="0" collapsed="false">
      <c r="A11" s="7" t="n">
        <v>4</v>
      </c>
      <c r="B11" s="7" t="n">
        <v>94</v>
      </c>
      <c r="C11" s="7" t="n">
        <v>178</v>
      </c>
      <c r="D11" s="7" t="n">
        <f aca="false">AVERAGE(B11:C11)</f>
        <v>136</v>
      </c>
      <c r="E11" s="7" t="n">
        <f aca="false">ROUND(F11*H11,0)</f>
        <v>105</v>
      </c>
      <c r="F11" s="7" t="n">
        <f aca="false">ROUND(F10*1.1,0)</f>
        <v>161</v>
      </c>
      <c r="G11" s="7" t="n">
        <f aca="false">AVERAGE(E11:F11)</f>
        <v>133</v>
      </c>
      <c r="H11" s="7" t="n">
        <v>0.65</v>
      </c>
    </row>
    <row r="12" customFormat="false" ht="21.75" hidden="false" customHeight="true" outlineLevel="0" collapsed="false">
      <c r="A12" s="7" t="n">
        <v>5</v>
      </c>
      <c r="B12" s="7" t="n">
        <v>102</v>
      </c>
      <c r="C12" s="7" t="n">
        <v>203</v>
      </c>
      <c r="D12" s="7" t="n">
        <f aca="false">AVERAGE(B12:C12)</f>
        <v>152.5</v>
      </c>
      <c r="E12" s="7" t="n">
        <f aca="false">ROUND(F12*H12,0)</f>
        <v>115</v>
      </c>
      <c r="F12" s="7" t="n">
        <f aca="false">ROUND(F11*1.1,0)</f>
        <v>177</v>
      </c>
      <c r="G12" s="7" t="n">
        <f aca="false">AVERAGE(E12:F12)</f>
        <v>146</v>
      </c>
      <c r="H12" s="7" t="n">
        <v>0.65</v>
      </c>
    </row>
    <row r="13" customFormat="false" ht="15.75" hidden="false" customHeight="false" outlineLevel="0" collapsed="false">
      <c r="A13" s="6" t="s">
        <v>68</v>
      </c>
      <c r="B13" s="6"/>
      <c r="C13" s="6"/>
    </row>
    <row r="14" customFormat="false" ht="15.75" hidden="false" customHeight="false" outlineLevel="0" collapsed="false">
      <c r="A14" s="6" t="s">
        <v>69</v>
      </c>
      <c r="B14" s="6" t="s">
        <v>70</v>
      </c>
      <c r="C14" s="6" t="s">
        <v>71</v>
      </c>
      <c r="D14" s="9"/>
      <c r="E14" s="9"/>
      <c r="F14" s="9"/>
      <c r="G14" s="9"/>
      <c r="H14" s="9"/>
    </row>
    <row r="15" customFormat="false" ht="15.75" hidden="false" customHeight="false" outlineLevel="0" collapsed="false">
      <c r="A15" s="13" t="s">
        <v>85</v>
      </c>
      <c r="B15" s="13" t="s">
        <v>86</v>
      </c>
      <c r="C15" s="13" t="s">
        <v>87</v>
      </c>
      <c r="J15" s="15" t="s">
        <v>88</v>
      </c>
      <c r="K15" s="15"/>
      <c r="L15" s="15"/>
      <c r="M15" s="15"/>
      <c r="N15" s="15"/>
    </row>
    <row r="16" customFormat="false" ht="15.75" hidden="false" customHeight="false" outlineLevel="0" collapsed="false">
      <c r="E16" s="10"/>
      <c r="F16" s="10"/>
      <c r="G16" s="10"/>
      <c r="J16" s="16"/>
      <c r="K16" s="16"/>
      <c r="L16" s="16"/>
    </row>
    <row r="17" customFormat="false" ht="15.75" hidden="false" customHeight="false" outlineLevel="0" collapsed="false">
      <c r="A17" s="2"/>
      <c r="J17" s="16"/>
      <c r="K17" s="17"/>
      <c r="L17" s="17"/>
      <c r="M17" s="10"/>
      <c r="P17" s="2"/>
      <c r="Q17" s="2"/>
    </row>
    <row r="18" customFormat="false" ht="15.75" hidden="false" customHeight="false" outlineLevel="0" collapsed="false">
      <c r="J18" s="16"/>
      <c r="K18" s="17"/>
      <c r="L18" s="16"/>
      <c r="M18" s="2"/>
      <c r="N18" s="2"/>
      <c r="P18" s="2"/>
      <c r="Q18" s="10"/>
      <c r="R18" s="10"/>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2" t="s">
        <v>8</v>
      </c>
      <c r="B22" s="2" t="s">
        <v>9</v>
      </c>
      <c r="C22" s="2" t="s">
        <v>16</v>
      </c>
      <c r="D22" s="2" t="s">
        <v>10</v>
      </c>
    </row>
  </sheetData>
  <mergeCells count="4">
    <mergeCell ref="B3:G3"/>
    <mergeCell ref="A13:C13"/>
    <mergeCell ref="D14:H14"/>
    <mergeCell ref="J15:N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21"/>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0" min="10"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61</v>
      </c>
      <c r="C6" s="7" t="n">
        <v>79</v>
      </c>
      <c r="D6" s="7" t="n">
        <f aca="false">AVERAGE(B6:C6)</f>
        <v>70</v>
      </c>
      <c r="E6" s="7" t="n">
        <f aca="false">ROUND(F6*H6,0)</f>
        <v>81</v>
      </c>
      <c r="F6" s="7" t="n">
        <f aca="false">ROUND(F7 * 0.9,0)</f>
        <v>101</v>
      </c>
      <c r="G6" s="7" t="n">
        <f aca="false">AVERAGE(E6:F6)</f>
        <v>91</v>
      </c>
      <c r="H6" s="7" t="n">
        <v>0.8</v>
      </c>
    </row>
    <row r="7" customFormat="false" ht="22.5" hidden="false" customHeight="true" outlineLevel="0" collapsed="false">
      <c r="A7" s="7" t="n">
        <v>0</v>
      </c>
      <c r="B7" s="7" t="n">
        <v>78</v>
      </c>
      <c r="C7" s="7" t="n">
        <v>90</v>
      </c>
      <c r="D7" s="7" t="n">
        <f aca="false">AVERAGE(B7:C7)</f>
        <v>84</v>
      </c>
      <c r="E7" s="7" t="n">
        <f aca="false">ROUND(F7*H7,0)</f>
        <v>90</v>
      </c>
      <c r="F7" s="7" t="n">
        <v>112</v>
      </c>
      <c r="G7" s="7" t="n">
        <f aca="false">AVERAGE(E7:F7)</f>
        <v>101</v>
      </c>
      <c r="H7" s="7" t="n">
        <v>0.8</v>
      </c>
    </row>
    <row r="8" customFormat="false" ht="22.5" hidden="false" customHeight="true" outlineLevel="0" collapsed="false">
      <c r="A8" s="7" t="n">
        <v>1</v>
      </c>
      <c r="B8" s="7" t="n">
        <v>87</v>
      </c>
      <c r="C8" s="7" t="n">
        <v>101</v>
      </c>
      <c r="D8" s="7" t="n">
        <f aca="false">AVERAGE(B8:C8)</f>
        <v>94</v>
      </c>
      <c r="E8" s="7" t="n">
        <f aca="false">ROUND(F8*H8,0)</f>
        <v>98</v>
      </c>
      <c r="F8" s="7" t="n">
        <f aca="false">ROUND(F7*1.1,0)</f>
        <v>123</v>
      </c>
      <c r="G8" s="7" t="n">
        <f aca="false">AVERAGE(E8:F8)</f>
        <v>110.5</v>
      </c>
      <c r="H8" s="7" t="n">
        <v>0.8</v>
      </c>
    </row>
    <row r="9" customFormat="false" ht="22.5" hidden="false" customHeight="true" outlineLevel="0" collapsed="false">
      <c r="A9" s="7" t="n">
        <v>2</v>
      </c>
      <c r="B9" s="7" t="n">
        <v>97</v>
      </c>
      <c r="C9" s="7" t="n">
        <v>113</v>
      </c>
      <c r="D9" s="7" t="n">
        <f aca="false">AVERAGE(B9:C9)</f>
        <v>105</v>
      </c>
      <c r="E9" s="7" t="n">
        <f aca="false">ROUND(F9*H9,0)</f>
        <v>108</v>
      </c>
      <c r="F9" s="7" t="n">
        <f aca="false">ROUND(F8*1.1,0)</f>
        <v>135</v>
      </c>
      <c r="G9" s="7" t="n">
        <f aca="false">AVERAGE(E9:F9)</f>
        <v>121.5</v>
      </c>
      <c r="H9" s="7" t="n">
        <v>0.8</v>
      </c>
    </row>
    <row r="10" customFormat="false" ht="15" hidden="false" customHeight="true" outlineLevel="0" collapsed="false">
      <c r="A10" s="7" t="n">
        <v>3</v>
      </c>
      <c r="B10" s="7" t="n">
        <v>109</v>
      </c>
      <c r="C10" s="7" t="n">
        <v>127</v>
      </c>
      <c r="D10" s="7" t="n">
        <f aca="false">AVERAGE(B10:C10)</f>
        <v>118</v>
      </c>
      <c r="E10" s="7" t="n">
        <f aca="false">ROUND(F10*H10,0)</f>
        <v>119</v>
      </c>
      <c r="F10" s="7" t="n">
        <f aca="false">ROUND(F9*1.1,0)</f>
        <v>149</v>
      </c>
      <c r="G10" s="7" t="n">
        <f aca="false">AVERAGE(E10:F10)</f>
        <v>134</v>
      </c>
      <c r="H10" s="7" t="n">
        <v>0.8</v>
      </c>
    </row>
    <row r="11" customFormat="false" ht="19.5" hidden="false" customHeight="true" outlineLevel="0" collapsed="false">
      <c r="A11" s="7" t="n">
        <v>4</v>
      </c>
      <c r="B11" s="7" t="n">
        <v>122</v>
      </c>
      <c r="C11" s="7" t="n">
        <v>142</v>
      </c>
      <c r="D11" s="7" t="n">
        <f aca="false">AVERAGE(B11:C11)</f>
        <v>132</v>
      </c>
      <c r="E11" s="7" t="n">
        <f aca="false">ROUND(F11*H11,0)</f>
        <v>131</v>
      </c>
      <c r="F11" s="7" t="n">
        <f aca="false">ROUND(F10*1.1,0)</f>
        <v>164</v>
      </c>
      <c r="G11" s="7" t="n">
        <f aca="false">AVERAGE(E11:F11)</f>
        <v>147.5</v>
      </c>
      <c r="H11" s="7" t="n">
        <v>0.8</v>
      </c>
    </row>
    <row r="12" customFormat="false" ht="22.5" hidden="false" customHeight="true" outlineLevel="0" collapsed="false">
      <c r="A12" s="7" t="n">
        <v>5</v>
      </c>
      <c r="B12" s="7" t="n">
        <v>137</v>
      </c>
      <c r="C12" s="7" t="n">
        <v>159</v>
      </c>
      <c r="D12" s="7" t="n">
        <f aca="false">AVERAGE(B12:C12)</f>
        <v>148</v>
      </c>
      <c r="E12" s="7" t="n">
        <f aca="false">ROUND(F12*H12,0)</f>
        <v>144</v>
      </c>
      <c r="F12" s="7" t="n">
        <f aca="false">ROUND(F11*1.1,0)</f>
        <v>180</v>
      </c>
      <c r="G12" s="7" t="n">
        <f aca="false">AVERAGE(E12:F12)</f>
        <v>162</v>
      </c>
      <c r="H12" s="7" t="n">
        <v>0.8</v>
      </c>
    </row>
    <row r="15" customFormat="false" ht="15.75" hidden="false" customHeight="false" outlineLevel="0" collapsed="false">
      <c r="A15" s="6" t="s">
        <v>68</v>
      </c>
      <c r="B15" s="6"/>
      <c r="C15" s="6"/>
      <c r="D15" s="6"/>
    </row>
    <row r="16" customFormat="false" ht="15.75" hidden="false" customHeight="false" outlineLevel="0" collapsed="false">
      <c r="A16" s="6" t="s">
        <v>69</v>
      </c>
      <c r="B16" s="6" t="s">
        <v>70</v>
      </c>
      <c r="C16" s="6" t="s">
        <v>71</v>
      </c>
      <c r="D16" s="6" t="s">
        <v>89</v>
      </c>
    </row>
    <row r="17" customFormat="false" ht="15.75" hidden="false" customHeight="false" outlineLevel="0" collapsed="false">
      <c r="A17" s="13" t="s">
        <v>90</v>
      </c>
      <c r="B17" s="13" t="s">
        <v>91</v>
      </c>
      <c r="C17" s="13" t="s">
        <v>92</v>
      </c>
      <c r="D17" s="13" t="s">
        <v>93</v>
      </c>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18" t="s">
        <v>11</v>
      </c>
      <c r="B22" s="18" t="s">
        <v>17</v>
      </c>
      <c r="C22" s="18" t="s">
        <v>35</v>
      </c>
      <c r="D22" s="18" t="s">
        <v>15</v>
      </c>
    </row>
  </sheetData>
  <mergeCells count="2">
    <mergeCell ref="B3:G3"/>
    <mergeCell ref="A15:C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1.12"/>
    <col collapsed="false" customWidth="true" hidden="false" outlineLevel="0" max="10" min="10" style="1" width="24.52"/>
    <col collapsed="false" customWidth="true" hidden="false" outlineLevel="0" max="11" min="11" style="1" width="20.38"/>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17.25" hidden="false" customHeight="true" outlineLevel="0" collapsed="false">
      <c r="A6" s="7" t="n">
        <v>-1</v>
      </c>
      <c r="B6" s="7" t="n">
        <v>105</v>
      </c>
      <c r="C6" s="7" t="n">
        <v>140</v>
      </c>
      <c r="D6" s="7" t="n">
        <f aca="false">AVERAGE(B6:C6)</f>
        <v>122.5</v>
      </c>
      <c r="E6" s="7" t="n">
        <f aca="false">ROUND(F6*H6,0)</f>
        <v>107</v>
      </c>
      <c r="F6" s="7" t="n">
        <f aca="false">ROUND(F7 * 0.9,0)</f>
        <v>164</v>
      </c>
      <c r="G6" s="7" t="n">
        <f aca="false">AVERAGE(E6:F6)</f>
        <v>135.5</v>
      </c>
      <c r="H6" s="7" t="n">
        <v>0.65</v>
      </c>
    </row>
    <row r="7" customFormat="false" ht="22.5" hidden="false" customHeight="true" outlineLevel="0" collapsed="false">
      <c r="A7" s="7" t="n">
        <v>0</v>
      </c>
      <c r="B7" s="7" t="n">
        <v>111</v>
      </c>
      <c r="C7" s="7" t="n">
        <v>149</v>
      </c>
      <c r="D7" s="7" t="n">
        <f aca="false">AVERAGE(B7:C7)</f>
        <v>130</v>
      </c>
      <c r="E7" s="7" t="n">
        <f aca="false">ROUND(F7*H7,0)</f>
        <v>118</v>
      </c>
      <c r="F7" s="7" t="n">
        <v>182</v>
      </c>
      <c r="G7" s="7" t="n">
        <f aca="false">AVERAGE(E7:F7)</f>
        <v>150</v>
      </c>
      <c r="H7" s="7" t="n">
        <v>0.65</v>
      </c>
    </row>
    <row r="8" customFormat="false" ht="14.25" hidden="false" customHeight="true" outlineLevel="0" collapsed="false">
      <c r="A8" s="7" t="n">
        <v>1</v>
      </c>
      <c r="B8" s="7" t="n">
        <v>124</v>
      </c>
      <c r="C8" s="7" t="n">
        <v>167</v>
      </c>
      <c r="D8" s="7" t="n">
        <f aca="false">AVERAGE(B8:C8)</f>
        <v>145.5</v>
      </c>
      <c r="E8" s="7" t="n">
        <f aca="false">ROUND(F8*H8,0)</f>
        <v>130</v>
      </c>
      <c r="F8" s="7" t="n">
        <f aca="false">ROUND(F7*1.1,0)</f>
        <v>200</v>
      </c>
      <c r="G8" s="7" t="n">
        <f aca="false">AVERAGE(E8:F8)</f>
        <v>165</v>
      </c>
      <c r="H8" s="7" t="n">
        <v>0.65</v>
      </c>
      <c r="L8" s="2"/>
    </row>
    <row r="9" customFormat="false" ht="22.5" hidden="false" customHeight="true" outlineLevel="0" collapsed="false">
      <c r="A9" s="7" t="n">
        <v>2</v>
      </c>
      <c r="B9" s="7" t="n">
        <v>139</v>
      </c>
      <c r="C9" s="7" t="n">
        <v>187</v>
      </c>
      <c r="D9" s="7" t="n">
        <f aca="false">AVERAGE(B9:C9)</f>
        <v>163</v>
      </c>
      <c r="E9" s="7" t="n">
        <f aca="false">ROUND(F9*H9,0)</f>
        <v>143</v>
      </c>
      <c r="F9" s="7" t="n">
        <f aca="false">ROUND(F8*1.1,0)</f>
        <v>220</v>
      </c>
      <c r="G9" s="7" t="n">
        <f aca="false">AVERAGE(E9:F9)</f>
        <v>181.5</v>
      </c>
      <c r="H9" s="7" t="n">
        <v>0.65</v>
      </c>
    </row>
    <row r="10" customFormat="false" ht="16.5" hidden="false" customHeight="true" outlineLevel="0" collapsed="false">
      <c r="A10" s="7" t="n">
        <v>3</v>
      </c>
      <c r="B10" s="7" t="n">
        <v>156</v>
      </c>
      <c r="C10" s="7" t="n">
        <v>209</v>
      </c>
      <c r="D10" s="7" t="n">
        <f aca="false">AVERAGE(B10:C10)</f>
        <v>182.5</v>
      </c>
      <c r="E10" s="7" t="n">
        <f aca="false">ROUND(F10*H10,0)</f>
        <v>157</v>
      </c>
      <c r="F10" s="7" t="n">
        <f aca="false">ROUND(F9*1.1,0)</f>
        <v>242</v>
      </c>
      <c r="G10" s="7" t="n">
        <f aca="false">AVERAGE(E10:F10)</f>
        <v>199.5</v>
      </c>
      <c r="H10" s="7" t="n">
        <v>0.65</v>
      </c>
    </row>
    <row r="11" customFormat="false" ht="16.5" hidden="false" customHeight="true" outlineLevel="0" collapsed="false">
      <c r="A11" s="7" t="n">
        <v>4</v>
      </c>
      <c r="B11" s="7" t="n">
        <v>175</v>
      </c>
      <c r="C11" s="7" t="n">
        <v>234</v>
      </c>
      <c r="D11" s="7" t="n">
        <f aca="false">AVERAGE(B11:C11)</f>
        <v>204.5</v>
      </c>
      <c r="E11" s="7" t="n">
        <f aca="false">ROUND(F11*H11,0)</f>
        <v>173</v>
      </c>
      <c r="F11" s="7" t="n">
        <f aca="false">ROUND(F10*1.1,0)</f>
        <v>266</v>
      </c>
      <c r="G11" s="7" t="n">
        <f aca="false">AVERAGE(E11:F11)</f>
        <v>219.5</v>
      </c>
      <c r="H11" s="7" t="n">
        <v>0.65</v>
      </c>
    </row>
    <row r="12" customFormat="false" ht="16.5" hidden="false" customHeight="true" outlineLevel="0" collapsed="false">
      <c r="A12" s="7" t="n">
        <v>5</v>
      </c>
      <c r="B12" s="7" t="n">
        <v>196</v>
      </c>
      <c r="C12" s="7" t="n">
        <v>292</v>
      </c>
      <c r="D12" s="7" t="n">
        <f aca="false">AVERAGE(B12:C12)</f>
        <v>244</v>
      </c>
      <c r="E12" s="7" t="n">
        <f aca="false">ROUND(F12*H12,0)</f>
        <v>190</v>
      </c>
      <c r="F12" s="7" t="n">
        <f aca="false">ROUND(F11*1.1,0)</f>
        <v>293</v>
      </c>
      <c r="G12" s="7" t="n">
        <f aca="false">AVERAGE(E12:F12)</f>
        <v>241.5</v>
      </c>
      <c r="H12" s="7" t="n">
        <v>0.65</v>
      </c>
    </row>
    <row r="13" customFormat="false" ht="16.5" hidden="false" customHeight="true" outlineLevel="0" collapsed="false"/>
    <row r="14" customFormat="false" ht="18" hidden="false" customHeight="true" outlineLevel="0" collapsed="false"/>
    <row r="15" customFormat="false" ht="15.75" hidden="false" customHeight="false" outlineLevel="0" collapsed="false">
      <c r="A15" s="2"/>
      <c r="B15" s="2"/>
      <c r="C15" s="2"/>
      <c r="D15" s="2"/>
    </row>
    <row r="16" customFormat="false" ht="15.75" hidden="false" customHeight="false" outlineLevel="0" collapsed="false">
      <c r="A16" s="6" t="s">
        <v>68</v>
      </c>
      <c r="B16" s="6"/>
      <c r="C16" s="6"/>
      <c r="D16" s="6"/>
    </row>
    <row r="17" customFormat="false" ht="15.75" hidden="false" customHeight="false" outlineLevel="0" collapsed="false">
      <c r="A17" s="6" t="s">
        <v>69</v>
      </c>
      <c r="B17" s="6" t="s">
        <v>70</v>
      </c>
      <c r="C17" s="19" t="s">
        <v>71</v>
      </c>
      <c r="D17" s="20" t="s">
        <v>94</v>
      </c>
    </row>
    <row r="18" customFormat="false" ht="15.75" hidden="false" customHeight="false" outlineLevel="0" collapsed="false">
      <c r="A18" s="13" t="s">
        <v>95</v>
      </c>
      <c r="B18" s="13" t="s">
        <v>96</v>
      </c>
      <c r="C18" s="21" t="s">
        <v>92</v>
      </c>
      <c r="D18" s="22" t="s">
        <v>97</v>
      </c>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18" t="s">
        <v>98</v>
      </c>
      <c r="B22" s="18" t="s">
        <v>15</v>
      </c>
      <c r="C22" s="18" t="s">
        <v>99</v>
      </c>
      <c r="D22" s="18" t="s">
        <v>2</v>
      </c>
    </row>
  </sheetData>
  <mergeCells count="2">
    <mergeCell ref="B3:G3"/>
    <mergeCell ref="A16:D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3"/>
    <col collapsed="false" customWidth="true" hidden="false" outlineLevel="0" max="10" min="10" style="1" width="2.63"/>
    <col collapsed="false" customWidth="true" hidden="false" outlineLevel="0" max="12" min="11" style="1" width="2.12"/>
    <col collapsed="false" customWidth="true" hidden="false" outlineLevel="0" max="13" min="13" style="1" width="2.25"/>
    <col collapsed="false" customWidth="true" hidden="false" outlineLevel="0" max="14" min="14" style="1" width="2.38"/>
    <col collapsed="false" customWidth="true" hidden="false" outlineLevel="0" max="15" min="15" style="1" width="2"/>
    <col collapsed="false" customWidth="true" hidden="false" outlineLevel="0" max="16" min="16" style="1" width="2.38"/>
    <col collapsed="false" customWidth="true" hidden="false" outlineLevel="0" max="17" min="17" style="1" width="2.63"/>
    <col collapsed="false" customWidth="true" hidden="false" outlineLevel="0" max="18" min="18" style="1" width="2.5"/>
    <col collapsed="false" customWidth="true" hidden="false" outlineLevel="0" max="19" min="19" style="1" width="2.38"/>
    <col collapsed="false" customWidth="true" hidden="false" outlineLevel="0" max="20" min="20" style="1" width="2.75"/>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104</v>
      </c>
      <c r="C6" s="7" t="n">
        <v>135</v>
      </c>
      <c r="D6" s="7" t="n">
        <f aca="false">AVERAGE(B6:C6)</f>
        <v>119.5</v>
      </c>
      <c r="E6" s="7" t="n">
        <f aca="false">ROUND(F6*H6,0)</f>
        <v>87</v>
      </c>
      <c r="F6" s="7" t="n">
        <f aca="false">ROUND(F7 * 0.9,0)</f>
        <v>173</v>
      </c>
      <c r="G6" s="7" t="n">
        <f aca="false">AVERAGE(E6:F6)</f>
        <v>130</v>
      </c>
      <c r="H6" s="7" t="n">
        <v>0.5</v>
      </c>
    </row>
    <row r="7" customFormat="false" ht="22.5" hidden="false" customHeight="true" outlineLevel="0" collapsed="false">
      <c r="A7" s="7" t="n">
        <v>0</v>
      </c>
      <c r="B7" s="7" t="n">
        <v>110</v>
      </c>
      <c r="C7" s="7" t="n">
        <v>140</v>
      </c>
      <c r="D7" s="7" t="n">
        <f aca="false">AVERAGE(B7:C7)</f>
        <v>125</v>
      </c>
      <c r="E7" s="7" t="n">
        <f aca="false">ROUND(F7*H7,0)</f>
        <v>96</v>
      </c>
      <c r="F7" s="7" t="n">
        <v>192</v>
      </c>
      <c r="G7" s="7" t="n">
        <f aca="false">AVERAGE(E7:F7)</f>
        <v>144</v>
      </c>
      <c r="H7" s="7" t="n">
        <v>0.5</v>
      </c>
    </row>
    <row r="8" customFormat="false" ht="22.5" hidden="false" customHeight="true" outlineLevel="0" collapsed="false">
      <c r="A8" s="7" t="n">
        <v>1</v>
      </c>
      <c r="B8" s="7" t="n">
        <v>123</v>
      </c>
      <c r="C8" s="7" t="n">
        <v>157</v>
      </c>
      <c r="D8" s="7" t="n">
        <f aca="false">AVERAGE(B8:C8)</f>
        <v>140</v>
      </c>
      <c r="E8" s="7" t="n">
        <f aca="false">ROUND(F8*H8,0)</f>
        <v>106</v>
      </c>
      <c r="F8" s="7" t="n">
        <f aca="false">ROUND(F7*1.1,0)</f>
        <v>211</v>
      </c>
      <c r="G8" s="7" t="n">
        <f aca="false">AVERAGE(E8:F8)</f>
        <v>158.5</v>
      </c>
      <c r="H8" s="7" t="n">
        <v>0.5</v>
      </c>
    </row>
    <row r="9" customFormat="false" ht="22.5" hidden="false" customHeight="true" outlineLevel="0" collapsed="false">
      <c r="A9" s="7" t="n">
        <v>2</v>
      </c>
      <c r="B9" s="7" t="n">
        <v>138</v>
      </c>
      <c r="C9" s="7" t="n">
        <v>176</v>
      </c>
      <c r="D9" s="7" t="n">
        <f aca="false">AVERAGE(B9:C9)</f>
        <v>157</v>
      </c>
      <c r="E9" s="7" t="n">
        <f aca="false">ROUND(F9*H9,0)</f>
        <v>116</v>
      </c>
      <c r="F9" s="7" t="n">
        <f aca="false">ROUND(F8*1.1,0)</f>
        <v>232</v>
      </c>
      <c r="G9" s="7" t="n">
        <f aca="false">AVERAGE(E9:F9)</f>
        <v>174</v>
      </c>
      <c r="H9" s="7" t="n">
        <v>0.5</v>
      </c>
    </row>
    <row r="10" customFormat="false" ht="22.5" hidden="false" customHeight="true" outlineLevel="0" collapsed="false">
      <c r="A10" s="7" t="n">
        <v>3</v>
      </c>
      <c r="B10" s="7" t="n">
        <v>155</v>
      </c>
      <c r="C10" s="7" t="n">
        <v>197</v>
      </c>
      <c r="D10" s="7" t="n">
        <f aca="false">AVERAGE(B10:C10)</f>
        <v>176</v>
      </c>
      <c r="E10" s="7" t="n">
        <f aca="false">ROUND(F10*H10,0)</f>
        <v>128</v>
      </c>
      <c r="F10" s="7" t="n">
        <f aca="false">ROUND(F9*1.1,0)</f>
        <v>255</v>
      </c>
      <c r="G10" s="7" t="n">
        <f aca="false">AVERAGE(E10:F10)</f>
        <v>191.5</v>
      </c>
      <c r="H10" s="7" t="n">
        <v>0.5</v>
      </c>
    </row>
    <row r="11" customFormat="false" ht="22.5" hidden="false" customHeight="true" outlineLevel="0" collapsed="false">
      <c r="A11" s="7" t="n">
        <v>4</v>
      </c>
      <c r="B11" s="7" t="n">
        <v>174</v>
      </c>
      <c r="C11" s="7" t="n">
        <v>221</v>
      </c>
      <c r="D11" s="7" t="n">
        <f aca="false">AVERAGE(B11:C11)</f>
        <v>197.5</v>
      </c>
      <c r="E11" s="7" t="n">
        <f aca="false">ROUND(F11*H11,0)</f>
        <v>141</v>
      </c>
      <c r="F11" s="7" t="n">
        <f aca="false">ROUND(F10*1.1,0)</f>
        <v>281</v>
      </c>
      <c r="G11" s="7" t="n">
        <f aca="false">AVERAGE(E11:F11)</f>
        <v>211</v>
      </c>
      <c r="H11" s="7" t="n">
        <v>0.5</v>
      </c>
    </row>
    <row r="12" customFormat="false" ht="22.5" hidden="false" customHeight="true" outlineLevel="0" collapsed="false">
      <c r="A12" s="7" t="n">
        <v>5</v>
      </c>
      <c r="B12" s="7" t="n">
        <v>195</v>
      </c>
      <c r="C12" s="7" t="n">
        <v>248</v>
      </c>
      <c r="D12" s="7" t="n">
        <f aca="false">AVERAGE(B12:C12)</f>
        <v>221.5</v>
      </c>
      <c r="E12" s="7" t="n">
        <f aca="false">ROUND(F12*H12,0)</f>
        <v>155</v>
      </c>
      <c r="F12" s="7" t="n">
        <f aca="false">ROUND(F11*1.1,0)</f>
        <v>309</v>
      </c>
      <c r="G12" s="7" t="n">
        <f aca="false">AVERAGE(E12:F12)</f>
        <v>232</v>
      </c>
      <c r="H12" s="7" t="n">
        <v>0.5</v>
      </c>
    </row>
    <row r="14" customFormat="false" ht="11.25" hidden="false" customHeight="true" outlineLevel="0" collapsed="false">
      <c r="L14" s="2"/>
    </row>
    <row r="15" customFormat="false" ht="15.75" hidden="false" customHeight="false" outlineLevel="0" collapsed="false">
      <c r="A15" s="19" t="s">
        <v>68</v>
      </c>
      <c r="B15" s="19"/>
      <c r="C15" s="19"/>
      <c r="D15" s="19"/>
    </row>
    <row r="16" customFormat="false" ht="39" hidden="false" customHeight="true" outlineLevel="0" collapsed="false">
      <c r="A16" s="6" t="s">
        <v>69</v>
      </c>
      <c r="B16" s="6" t="s">
        <v>70</v>
      </c>
      <c r="C16" s="19" t="s">
        <v>71</v>
      </c>
      <c r="D16" s="6" t="s">
        <v>94</v>
      </c>
    </row>
    <row r="17" customFormat="false" ht="65.25" hidden="false" customHeight="true" outlineLevel="0" collapsed="false">
      <c r="A17" s="13" t="s">
        <v>85</v>
      </c>
      <c r="B17" s="13" t="s">
        <v>100</v>
      </c>
      <c r="C17" s="21" t="s">
        <v>101</v>
      </c>
      <c r="D17" s="13" t="s">
        <v>102</v>
      </c>
      <c r="L17" s="18"/>
    </row>
    <row r="18" customFormat="false" ht="15.75" hidden="false" customHeight="false" outlineLevel="0" collapsed="false">
      <c r="K18" s="2"/>
    </row>
    <row r="19" customFormat="false" ht="15.75" hidden="false" customHeight="false" outlineLevel="0" collapsed="false">
      <c r="N19" s="23"/>
    </row>
    <row r="20" customFormat="false" ht="15.75" hidden="false" customHeight="false" outlineLevel="0" collapsed="false">
      <c r="A20" s="2" t="s">
        <v>75</v>
      </c>
      <c r="M20" s="23"/>
      <c r="N20" s="16"/>
      <c r="O20" s="23"/>
    </row>
    <row r="21" customFormat="false" ht="15.75" hidden="false" customHeight="false" outlineLevel="0" collapsed="false">
      <c r="A21" s="2" t="s">
        <v>76</v>
      </c>
      <c r="B21" s="2" t="s">
        <v>77</v>
      </c>
      <c r="C21" s="2" t="s">
        <v>78</v>
      </c>
      <c r="D21" s="2" t="s">
        <v>79</v>
      </c>
      <c r="L21" s="23"/>
      <c r="M21" s="16"/>
      <c r="N21" s="16"/>
      <c r="O21" s="16"/>
      <c r="P21" s="23"/>
    </row>
    <row r="22" customFormat="false" ht="15.75" hidden="false" customHeight="false" outlineLevel="0" collapsed="false">
      <c r="A22" s="18" t="s">
        <v>103</v>
      </c>
      <c r="B22" s="18" t="s">
        <v>104</v>
      </c>
      <c r="C22" s="18" t="s">
        <v>105</v>
      </c>
      <c r="D22" s="18" t="s">
        <v>35</v>
      </c>
      <c r="M22" s="23"/>
      <c r="N22" s="16"/>
      <c r="O22" s="23"/>
    </row>
    <row r="23" customFormat="false" ht="15.75" hidden="false" customHeight="false" outlineLevel="0" collapsed="false">
      <c r="N23" s="23"/>
    </row>
  </sheetData>
  <mergeCells count="2">
    <mergeCell ref="B3:G3"/>
    <mergeCell ref="A15:D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79</v>
      </c>
      <c r="C6" s="7" t="n">
        <v>126</v>
      </c>
      <c r="D6" s="7" t="n">
        <f aca="false">AVERAGE(B6:C6)</f>
        <v>102.5</v>
      </c>
      <c r="E6" s="7" t="n">
        <f aca="false">ROUND(F6*H6,0)</f>
        <v>70</v>
      </c>
      <c r="F6" s="7" t="n">
        <f aca="false">ROUND(F7 * 0.9,0)</f>
        <v>139</v>
      </c>
      <c r="G6" s="7" t="n">
        <f aca="false">AVERAGE(E6:F6)</f>
        <v>104.5</v>
      </c>
      <c r="H6" s="7" t="n">
        <v>0.5</v>
      </c>
    </row>
    <row r="7" customFormat="false" ht="22.5" hidden="false" customHeight="true" outlineLevel="0" collapsed="false">
      <c r="A7" s="7" t="n">
        <v>0</v>
      </c>
      <c r="B7" s="7" t="n">
        <v>82</v>
      </c>
      <c r="C7" s="7" t="n">
        <v>136</v>
      </c>
      <c r="D7" s="7" t="n">
        <f aca="false">AVERAGE(B7:C7)</f>
        <v>109</v>
      </c>
      <c r="E7" s="7" t="n">
        <f aca="false">ROUND(F7*H7,0)</f>
        <v>77</v>
      </c>
      <c r="F7" s="7" t="n">
        <v>154</v>
      </c>
      <c r="G7" s="7" t="n">
        <f aca="false">AVERAGE(E7:F7)</f>
        <v>115.5</v>
      </c>
      <c r="H7" s="7" t="n">
        <v>0.5</v>
      </c>
    </row>
    <row r="8" customFormat="false" ht="16.5" hidden="false" customHeight="true" outlineLevel="0" collapsed="false">
      <c r="A8" s="7" t="n">
        <v>1</v>
      </c>
      <c r="B8" s="7" t="n">
        <v>89</v>
      </c>
      <c r="C8" s="7" t="n">
        <v>155</v>
      </c>
      <c r="D8" s="7" t="n">
        <f aca="false">AVERAGE(B8:C8)</f>
        <v>122</v>
      </c>
      <c r="E8" s="7" t="n">
        <f aca="false">ROUND(F8*H8,0)</f>
        <v>85</v>
      </c>
      <c r="F8" s="7" t="n">
        <f aca="false">ROUND(F7*1.1,0)</f>
        <v>169</v>
      </c>
      <c r="G8" s="7" t="n">
        <f aca="false">AVERAGE(E8:F8)</f>
        <v>127</v>
      </c>
      <c r="H8" s="7" t="n">
        <v>0.5</v>
      </c>
      <c r="K8" s="2"/>
    </row>
    <row r="9" customFormat="false" ht="22.5" hidden="false" customHeight="true" outlineLevel="0" collapsed="false">
      <c r="A9" s="7" t="n">
        <v>2</v>
      </c>
      <c r="B9" s="7" t="n">
        <v>96</v>
      </c>
      <c r="C9" s="7" t="n">
        <v>177</v>
      </c>
      <c r="D9" s="7" t="n">
        <f aca="false">AVERAGE(B9:C9)</f>
        <v>136.5</v>
      </c>
      <c r="E9" s="7" t="n">
        <f aca="false">ROUND(F9*H9,0)</f>
        <v>93</v>
      </c>
      <c r="F9" s="7" t="n">
        <f aca="false">ROUND(F8*1.1,0)</f>
        <v>186</v>
      </c>
      <c r="G9" s="7" t="n">
        <f aca="false">AVERAGE(E9:F9)</f>
        <v>139.5</v>
      </c>
      <c r="H9" s="7" t="n">
        <v>0.5</v>
      </c>
    </row>
    <row r="10" customFormat="false" ht="15" hidden="false" customHeight="true" outlineLevel="0" collapsed="false">
      <c r="A10" s="7" t="n">
        <v>3</v>
      </c>
      <c r="B10" s="7" t="n">
        <v>104</v>
      </c>
      <c r="C10" s="7" t="n">
        <v>202</v>
      </c>
      <c r="D10" s="7" t="n">
        <f aca="false">AVERAGE(B10:C10)</f>
        <v>153</v>
      </c>
      <c r="E10" s="7" t="n">
        <f aca="false">ROUND(F10*H10,0)</f>
        <v>103</v>
      </c>
      <c r="F10" s="7" t="n">
        <f aca="false">ROUND(F9*1.1,0)</f>
        <v>205</v>
      </c>
      <c r="G10" s="7" t="n">
        <f aca="false">AVERAGE(E10:F10)</f>
        <v>154</v>
      </c>
      <c r="H10" s="7" t="n">
        <v>0.5</v>
      </c>
    </row>
    <row r="11" customFormat="false" ht="22.5" hidden="false" customHeight="true" outlineLevel="0" collapsed="false">
      <c r="A11" s="7" t="n">
        <v>4</v>
      </c>
      <c r="B11" s="7" t="n">
        <v>112</v>
      </c>
      <c r="C11" s="7" t="n">
        <v>230</v>
      </c>
      <c r="D11" s="7" t="n">
        <f aca="false">AVERAGE(B11:C11)</f>
        <v>171</v>
      </c>
      <c r="E11" s="7" t="n">
        <f aca="false">ROUND(F11*H11,0)</f>
        <v>113</v>
      </c>
      <c r="F11" s="7" t="n">
        <f aca="false">ROUND(F10*1.1,0)</f>
        <v>226</v>
      </c>
      <c r="G11" s="7" t="n">
        <f aca="false">AVERAGE(E11:F11)</f>
        <v>169.5</v>
      </c>
      <c r="H11" s="7" t="n">
        <v>0.5</v>
      </c>
    </row>
    <row r="12" customFormat="false" ht="22.5" hidden="false" customHeight="true" outlineLevel="0" collapsed="false">
      <c r="A12" s="7" t="n">
        <v>5</v>
      </c>
      <c r="B12" s="7" t="n">
        <v>121</v>
      </c>
      <c r="C12" s="7" t="n">
        <v>262</v>
      </c>
      <c r="D12" s="7" t="n">
        <f aca="false">AVERAGE(B12:C12)</f>
        <v>191.5</v>
      </c>
      <c r="E12" s="7" t="n">
        <f aca="false">ROUND(F12*H12,0)</f>
        <v>125</v>
      </c>
      <c r="F12" s="7" t="n">
        <f aca="false">ROUND(F11*1.1,0)</f>
        <v>249</v>
      </c>
      <c r="G12" s="7" t="n">
        <f aca="false">AVERAGE(E12:F12)</f>
        <v>187</v>
      </c>
      <c r="H12" s="7" t="n">
        <v>0.5</v>
      </c>
    </row>
    <row r="13" customFormat="false" ht="15.75" hidden="false" customHeight="false" outlineLevel="0" collapsed="false">
      <c r="A13" s="6" t="s">
        <v>68</v>
      </c>
      <c r="B13" s="6"/>
      <c r="C13" s="6"/>
    </row>
    <row r="14" customFormat="false" ht="15.75" hidden="false" customHeight="false" outlineLevel="0" collapsed="false">
      <c r="A14" s="6" t="s">
        <v>69</v>
      </c>
      <c r="B14" s="6" t="s">
        <v>70</v>
      </c>
      <c r="C14" s="6" t="s">
        <v>71</v>
      </c>
      <c r="D14" s="6" t="s">
        <v>94</v>
      </c>
    </row>
    <row r="15" customFormat="false" ht="15.75" hidden="false" customHeight="false" outlineLevel="0" collapsed="false">
      <c r="A15" s="13" t="s">
        <v>85</v>
      </c>
      <c r="B15" s="13" t="s">
        <v>106</v>
      </c>
      <c r="C15" s="13" t="s">
        <v>92</v>
      </c>
      <c r="D15" s="13" t="s">
        <v>92</v>
      </c>
    </row>
    <row r="16" customFormat="false" ht="15.75" hidden="false" customHeight="false" outlineLevel="0" collapsed="false">
      <c r="E16" s="10"/>
      <c r="F16" s="10"/>
      <c r="G16" s="10"/>
    </row>
    <row r="19" customFormat="false" ht="36" hidden="false" customHeight="true" outlineLevel="0" collapsed="false"/>
    <row r="20" customFormat="false" ht="15.75" hidden="false" customHeight="false" outlineLevel="0" collapsed="false">
      <c r="A20" s="6" t="s">
        <v>75</v>
      </c>
      <c r="B20" s="6"/>
      <c r="C20" s="6"/>
      <c r="D20" s="6"/>
    </row>
    <row r="21" customFormat="false" ht="15.75" hidden="false" customHeight="false" outlineLevel="0" collapsed="false">
      <c r="A21" s="6" t="s">
        <v>76</v>
      </c>
      <c r="B21" s="6" t="s">
        <v>77</v>
      </c>
      <c r="C21" s="6" t="s">
        <v>78</v>
      </c>
      <c r="D21" s="6" t="s">
        <v>79</v>
      </c>
    </row>
    <row r="22" customFormat="false" ht="15.75" hidden="false" customHeight="false" outlineLevel="0" collapsed="false">
      <c r="A22" s="24" t="s">
        <v>107</v>
      </c>
      <c r="B22" s="24" t="s">
        <v>8</v>
      </c>
      <c r="C22" s="24" t="s">
        <v>108</v>
      </c>
      <c r="D22" s="11" t="s">
        <v>109</v>
      </c>
    </row>
  </sheetData>
  <mergeCells count="2">
    <mergeCell ref="B3:G3"/>
    <mergeCell ref="A13:C13"/>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1.12"/>
    <col collapsed="false" customWidth="true" hidden="false" outlineLevel="0" max="10" min="10" style="1" width="24.52"/>
    <col collapsed="false" customWidth="true" hidden="false" outlineLevel="0" max="11" min="11" style="1" width="2.75"/>
    <col collapsed="false" customWidth="true" hidden="false" outlineLevel="0" max="12" min="12" style="1" width="2.5"/>
    <col collapsed="false" customWidth="true" hidden="false" outlineLevel="0" max="13" min="13" style="1" width="2.63"/>
    <col collapsed="false" customWidth="true" hidden="false" outlineLevel="0" max="15" min="14" style="1" width="3.13"/>
    <col collapsed="false" customWidth="true" hidden="false" outlineLevel="0" max="16" min="16" style="1" width="2.88"/>
    <col collapsed="false" customWidth="true" hidden="false" outlineLevel="0" max="17" min="17" style="1" width="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c r="K4" s="2"/>
      <c r="L4" s="2"/>
      <c r="M4" s="2"/>
      <c r="N4" s="2"/>
      <c r="O4" s="2"/>
      <c r="P4" s="2"/>
      <c r="Q4" s="2"/>
    </row>
    <row r="5" customFormat="false" ht="22.5" hidden="false" customHeight="true" outlineLevel="0" collapsed="false">
      <c r="A5" s="3" t="s">
        <v>1</v>
      </c>
      <c r="B5" s="3" t="s">
        <v>61</v>
      </c>
      <c r="C5" s="3" t="s">
        <v>62</v>
      </c>
      <c r="D5" s="3" t="s">
        <v>63</v>
      </c>
      <c r="E5" s="3" t="s">
        <v>64</v>
      </c>
      <c r="F5" s="3" t="s">
        <v>65</v>
      </c>
      <c r="G5" s="3" t="s">
        <v>66</v>
      </c>
      <c r="H5" s="3" t="s">
        <v>67</v>
      </c>
      <c r="K5" s="15" t="s">
        <v>110</v>
      </c>
      <c r="L5" s="15"/>
      <c r="M5" s="15"/>
      <c r="N5" s="15"/>
      <c r="O5" s="15"/>
      <c r="P5" s="15"/>
      <c r="Q5" s="15"/>
    </row>
    <row r="6" customFormat="false" ht="16.5" hidden="false" customHeight="true" outlineLevel="0" collapsed="false">
      <c r="A6" s="7" t="n">
        <v>-1</v>
      </c>
      <c r="B6" s="7" t="n">
        <v>85</v>
      </c>
      <c r="C6" s="7" t="n">
        <v>114</v>
      </c>
      <c r="D6" s="7" t="n">
        <f aca="false">AVERAGE(B6:C6)</f>
        <v>99.5</v>
      </c>
      <c r="E6" s="7" t="n">
        <f aca="false">ROUND(F6*H6,0)</f>
        <v>101</v>
      </c>
      <c r="F6" s="7" t="n">
        <f aca="false">ROUND(F7 * 0.9,0)</f>
        <v>126</v>
      </c>
      <c r="G6" s="7" t="n">
        <f aca="false">AVERAGE(E6:F6)</f>
        <v>113.5</v>
      </c>
      <c r="H6" s="7" t="n">
        <v>0.8</v>
      </c>
    </row>
    <row r="7" customFormat="false" ht="16.5" hidden="false" customHeight="true" outlineLevel="0" collapsed="false">
      <c r="A7" s="7" t="n">
        <v>0</v>
      </c>
      <c r="B7" s="7" t="n">
        <v>99</v>
      </c>
      <c r="C7" s="7" t="n">
        <v>126</v>
      </c>
      <c r="D7" s="7" t="n">
        <f aca="false">AVERAGE(B7:C7)</f>
        <v>112.5</v>
      </c>
      <c r="E7" s="7" t="n">
        <f aca="false">ROUND(F7*H7,0)</f>
        <v>112</v>
      </c>
      <c r="F7" s="7" t="n">
        <v>140</v>
      </c>
      <c r="G7" s="7" t="n">
        <f aca="false">AVERAGE(E7:F7)</f>
        <v>126</v>
      </c>
      <c r="H7" s="7" t="n">
        <v>0.8</v>
      </c>
      <c r="N7" s="16"/>
    </row>
    <row r="8" customFormat="false" ht="16.5" hidden="false" customHeight="true" outlineLevel="0" collapsed="false">
      <c r="A8" s="7" t="n">
        <v>1</v>
      </c>
      <c r="B8" s="7" t="n">
        <v>111</v>
      </c>
      <c r="C8" s="7" t="n">
        <v>141</v>
      </c>
      <c r="D8" s="7" t="n">
        <f aca="false">AVERAGE(B8:C8)</f>
        <v>126</v>
      </c>
      <c r="E8" s="7" t="n">
        <f aca="false">ROUND(F8*H8,0)</f>
        <v>123</v>
      </c>
      <c r="F8" s="7" t="n">
        <f aca="false">ROUND(F7*1.1,0)</f>
        <v>154</v>
      </c>
      <c r="G8" s="7" t="n">
        <f aca="false">AVERAGE(E8:F8)</f>
        <v>138.5</v>
      </c>
      <c r="H8" s="7" t="n">
        <v>0.8</v>
      </c>
      <c r="N8" s="16"/>
    </row>
    <row r="9" customFormat="false" ht="16.5" hidden="false" customHeight="true" outlineLevel="0" collapsed="false">
      <c r="A9" s="7" t="n">
        <v>2</v>
      </c>
      <c r="B9" s="7" t="n">
        <v>124</v>
      </c>
      <c r="C9" s="7" t="n">
        <v>158</v>
      </c>
      <c r="D9" s="7" t="n">
        <f aca="false">AVERAGE(B9:C9)</f>
        <v>141</v>
      </c>
      <c r="E9" s="7" t="n">
        <f aca="false">ROUND(F9*H9,0)</f>
        <v>135</v>
      </c>
      <c r="F9" s="7" t="n">
        <f aca="false">ROUND(F8*1.1,0)</f>
        <v>169</v>
      </c>
      <c r="G9" s="7" t="n">
        <f aca="false">AVERAGE(E9:F9)</f>
        <v>152</v>
      </c>
      <c r="H9" s="7" t="n">
        <v>0.8</v>
      </c>
      <c r="N9" s="16"/>
    </row>
    <row r="10" customFormat="false" ht="16.5" hidden="false" customHeight="true" outlineLevel="0" collapsed="false">
      <c r="A10" s="7" t="n">
        <v>3</v>
      </c>
      <c r="B10" s="7" t="n">
        <v>139</v>
      </c>
      <c r="C10" s="7" t="n">
        <v>177</v>
      </c>
      <c r="D10" s="7" t="n">
        <f aca="false">AVERAGE(B10:C10)</f>
        <v>158</v>
      </c>
      <c r="E10" s="7" t="n">
        <f aca="false">ROUND(F10*H10,0)</f>
        <v>149</v>
      </c>
      <c r="F10" s="7" t="n">
        <f aca="false">ROUND(F9*1.1,0)</f>
        <v>186</v>
      </c>
      <c r="G10" s="7" t="n">
        <f aca="false">AVERAGE(E10:F10)</f>
        <v>167.5</v>
      </c>
      <c r="H10" s="7" t="n">
        <v>0.8</v>
      </c>
      <c r="N10" s="16"/>
    </row>
    <row r="11" customFormat="false" ht="16.5" hidden="false" customHeight="true" outlineLevel="0" collapsed="false">
      <c r="A11" s="7" t="n">
        <v>4</v>
      </c>
      <c r="B11" s="7" t="n">
        <v>156</v>
      </c>
      <c r="C11" s="7" t="n">
        <v>198</v>
      </c>
      <c r="D11" s="7" t="n">
        <f aca="false">AVERAGE(B11:C11)</f>
        <v>177</v>
      </c>
      <c r="E11" s="7" t="n">
        <f aca="false">ROUND(F11*H11,0)</f>
        <v>164</v>
      </c>
      <c r="F11" s="7" t="n">
        <f aca="false">ROUND(F10*1.1,0)</f>
        <v>205</v>
      </c>
      <c r="G11" s="7" t="n">
        <f aca="false">AVERAGE(E11:F11)</f>
        <v>184.5</v>
      </c>
      <c r="H11" s="7" t="n">
        <v>0.8</v>
      </c>
    </row>
    <row r="12" customFormat="false" ht="16.5" hidden="false" customHeight="true" outlineLevel="0" collapsed="false">
      <c r="A12" s="7" t="n">
        <v>5</v>
      </c>
      <c r="B12" s="7" t="n">
        <v>175</v>
      </c>
      <c r="C12" s="7" t="n">
        <v>222</v>
      </c>
      <c r="D12" s="7" t="n">
        <f aca="false">AVERAGE(B12:C12)</f>
        <v>198.5</v>
      </c>
      <c r="E12" s="7" t="n">
        <f aca="false">ROUND(F12*H12,0)</f>
        <v>181</v>
      </c>
      <c r="F12" s="7" t="n">
        <f aca="false">ROUND(F11*1.1,0)</f>
        <v>226</v>
      </c>
      <c r="G12" s="7" t="n">
        <f aca="false">AVERAGE(E12:F12)</f>
        <v>203.5</v>
      </c>
      <c r="H12" s="7" t="n">
        <v>0.8</v>
      </c>
    </row>
    <row r="14" customFormat="false" ht="11.25" hidden="false" customHeight="true" outlineLevel="0" collapsed="false"/>
    <row r="16" customFormat="false" ht="15.75" hidden="false" customHeight="false" outlineLevel="0" collapsed="false">
      <c r="A16" s="19" t="s">
        <v>68</v>
      </c>
      <c r="B16" s="19"/>
      <c r="C16" s="19"/>
      <c r="D16" s="19"/>
    </row>
    <row r="17" customFormat="false" ht="15.75" hidden="false" customHeight="false" outlineLevel="0" collapsed="false">
      <c r="A17" s="6" t="s">
        <v>69</v>
      </c>
      <c r="B17" s="6" t="s">
        <v>70</v>
      </c>
      <c r="C17" s="19" t="s">
        <v>71</v>
      </c>
      <c r="D17" s="8" t="s">
        <v>94</v>
      </c>
      <c r="K17" s="25"/>
      <c r="L17" s="25"/>
      <c r="P17" s="25"/>
      <c r="Q17" s="25"/>
    </row>
    <row r="18" customFormat="false" ht="15.75" hidden="false" customHeight="false" outlineLevel="0" collapsed="false">
      <c r="A18" s="13" t="s">
        <v>111</v>
      </c>
      <c r="B18" s="13" t="s">
        <v>112</v>
      </c>
      <c r="C18" s="21" t="s">
        <v>92</v>
      </c>
      <c r="D18" s="26" t="s">
        <v>85</v>
      </c>
      <c r="K18" s="25"/>
      <c r="L18" s="25"/>
      <c r="P18" s="25"/>
      <c r="Q18" s="25"/>
    </row>
    <row r="19" customFormat="false" ht="15.75" hidden="false" customHeight="false" outlineLevel="0" collapsed="false">
      <c r="H19" s="10"/>
      <c r="I19" s="10"/>
      <c r="K19" s="25"/>
      <c r="L19" s="25"/>
      <c r="P19" s="25"/>
      <c r="Q19" s="25"/>
    </row>
    <row r="20" customFormat="false" ht="15.75" hidden="false" customHeight="false" outlineLevel="0" collapsed="false">
      <c r="A20" s="6" t="s">
        <v>75</v>
      </c>
      <c r="B20" s="6"/>
      <c r="C20" s="6"/>
      <c r="D20" s="6"/>
      <c r="H20" s="10"/>
      <c r="I20" s="10"/>
      <c r="K20" s="25"/>
      <c r="L20" s="25"/>
      <c r="M20" s="25"/>
    </row>
    <row r="21" customFormat="false" ht="15.75" hidden="false" customHeight="false" outlineLevel="0" collapsed="false">
      <c r="A21" s="6" t="s">
        <v>76</v>
      </c>
      <c r="B21" s="6" t="s">
        <v>77</v>
      </c>
      <c r="C21" s="6" t="s">
        <v>78</v>
      </c>
      <c r="D21" s="6" t="s">
        <v>79</v>
      </c>
      <c r="H21" s="10"/>
      <c r="I21" s="10"/>
    </row>
    <row r="22" customFormat="false" ht="15.75" hidden="false" customHeight="false" outlineLevel="0" collapsed="false">
      <c r="A22" s="27" t="s">
        <v>113</v>
      </c>
      <c r="B22" s="24" t="s">
        <v>7</v>
      </c>
      <c r="C22" s="27" t="s">
        <v>34</v>
      </c>
      <c r="D22" s="13" t="s">
        <v>114</v>
      </c>
      <c r="H22" s="10"/>
    </row>
    <row r="23" customFormat="false" ht="15.75" hidden="false" customHeight="false" outlineLevel="0" collapsed="false">
      <c r="H23" s="10"/>
    </row>
  </sheetData>
  <mergeCells count="3">
    <mergeCell ref="B3:G3"/>
    <mergeCell ref="K5:Q5"/>
    <mergeCell ref="A16:D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22"/>
    <col collapsed="false" customWidth="true" hidden="false" outlineLevel="0" max="7" min="7" style="1" width="25.63"/>
    <col collapsed="false" customWidth="true" hidden="false" outlineLevel="0" max="9" min="9" style="1" width="16.25"/>
    <col collapsed="false" customWidth="true" hidden="false" outlineLevel="0" max="10" min="10" style="1" width="2.63"/>
    <col collapsed="false" customWidth="true" hidden="false" outlineLevel="0" max="13" min="11" style="1" width="2.38"/>
    <col collapsed="false" customWidth="true" hidden="false" outlineLevel="0" max="14" min="14" style="1" width="2.12"/>
    <col collapsed="false" customWidth="true" hidden="false" outlineLevel="0" max="15" min="15" style="1" width="2.38"/>
    <col collapsed="false" customWidth="true" hidden="false" outlineLevel="0" max="16" min="16" style="1" width="2.5"/>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74</v>
      </c>
      <c r="C6" s="7" t="n">
        <v>97</v>
      </c>
      <c r="D6" s="7" t="n">
        <f aca="false">AVERAGE(B6:C6)</f>
        <v>85.5</v>
      </c>
      <c r="E6" s="7" t="n">
        <f aca="false">ROUND(F6*H6,0)</f>
        <v>75</v>
      </c>
      <c r="F6" s="7" t="n">
        <f aca="false">ROUND(F7 * 0.9,0)</f>
        <v>115</v>
      </c>
      <c r="G6" s="7" t="n">
        <f aca="false">AVERAGE(E6:F6)</f>
        <v>95</v>
      </c>
      <c r="H6" s="7" t="n">
        <v>0.65</v>
      </c>
    </row>
    <row r="7" customFormat="false" ht="22.5" hidden="false" customHeight="true" outlineLevel="0" collapsed="false">
      <c r="A7" s="7" t="n">
        <v>0</v>
      </c>
      <c r="B7" s="7" t="n">
        <v>81</v>
      </c>
      <c r="C7" s="7" t="n">
        <v>104</v>
      </c>
      <c r="D7" s="7" t="n">
        <f aca="false">AVERAGE(B7:C7)</f>
        <v>92.5</v>
      </c>
      <c r="E7" s="7" t="n">
        <f aca="false">ROUND(F7*H7,0)</f>
        <v>83</v>
      </c>
      <c r="F7" s="7" t="n">
        <v>128</v>
      </c>
      <c r="G7" s="7" t="n">
        <f aca="false">AVERAGE(E7:F7)</f>
        <v>105.5</v>
      </c>
      <c r="H7" s="7" t="n">
        <v>0.65</v>
      </c>
    </row>
    <row r="8" customFormat="false" ht="22.5" hidden="false" customHeight="true" outlineLevel="0" collapsed="false">
      <c r="A8" s="7" t="n">
        <v>1</v>
      </c>
      <c r="B8" s="7" t="n">
        <v>90</v>
      </c>
      <c r="C8" s="7" t="n">
        <v>115</v>
      </c>
      <c r="D8" s="7" t="n">
        <f aca="false">AVERAGE(B8:C8)</f>
        <v>102.5</v>
      </c>
      <c r="E8" s="7" t="n">
        <f aca="false">ROUND(F8*H8,0)</f>
        <v>92</v>
      </c>
      <c r="F8" s="7" t="n">
        <f aca="false">ROUND(F7*1.1,0)</f>
        <v>141</v>
      </c>
      <c r="G8" s="7" t="n">
        <f aca="false">AVERAGE(E8:F8)</f>
        <v>116.5</v>
      </c>
      <c r="H8" s="7" t="n">
        <v>0.65</v>
      </c>
    </row>
    <row r="9" customFormat="false" ht="22.5" hidden="false" customHeight="true" outlineLevel="0" collapsed="false">
      <c r="A9" s="7" t="n">
        <v>2</v>
      </c>
      <c r="B9" s="7" t="n">
        <v>100</v>
      </c>
      <c r="C9" s="7" t="n">
        <v>128</v>
      </c>
      <c r="D9" s="7" t="n">
        <f aca="false">AVERAGE(B9:C9)</f>
        <v>114</v>
      </c>
      <c r="E9" s="7" t="n">
        <f aca="false">ROUND(F9*H9,0)</f>
        <v>101</v>
      </c>
      <c r="F9" s="7" t="n">
        <f aca="false">ROUND(F8*1.1,0)</f>
        <v>155</v>
      </c>
      <c r="G9" s="7" t="n">
        <f aca="false">AVERAGE(E9:F9)</f>
        <v>128</v>
      </c>
      <c r="H9" s="7" t="n">
        <v>0.65</v>
      </c>
    </row>
    <row r="10" customFormat="false" ht="16.5" hidden="false" customHeight="true" outlineLevel="0" collapsed="false">
      <c r="A10" s="7" t="n">
        <v>3</v>
      </c>
      <c r="B10" s="7" t="n">
        <v>111</v>
      </c>
      <c r="C10" s="7" t="n">
        <v>142</v>
      </c>
      <c r="D10" s="7" t="n">
        <f aca="false">AVERAGE(B10:C10)</f>
        <v>126.5</v>
      </c>
      <c r="E10" s="7" t="n">
        <f aca="false">ROUND(F10*H10,0)</f>
        <v>111</v>
      </c>
      <c r="F10" s="7" t="n">
        <f aca="false">ROUND(F9*1.1,0)</f>
        <v>171</v>
      </c>
      <c r="G10" s="7" t="n">
        <f aca="false">AVERAGE(E10:F10)</f>
        <v>141</v>
      </c>
      <c r="H10" s="7" t="n">
        <v>0.65</v>
      </c>
    </row>
    <row r="11" customFormat="false" ht="22.5" hidden="false" customHeight="true" outlineLevel="0" collapsed="false">
      <c r="A11" s="7" t="n">
        <v>4</v>
      </c>
      <c r="B11" s="7" t="n">
        <v>123</v>
      </c>
      <c r="C11" s="7" t="n">
        <v>158</v>
      </c>
      <c r="D11" s="7" t="n">
        <f aca="false">AVERAGE(B11:C11)</f>
        <v>140.5</v>
      </c>
      <c r="E11" s="7" t="n">
        <f aca="false">ROUND(F11*H11,0)</f>
        <v>122</v>
      </c>
      <c r="F11" s="7" t="n">
        <f aca="false">ROUND(F10*1.1,0)</f>
        <v>188</v>
      </c>
      <c r="G11" s="7" t="n">
        <f aca="false">AVERAGE(E11:F11)</f>
        <v>155</v>
      </c>
      <c r="H11" s="7" t="n">
        <v>0.65</v>
      </c>
    </row>
    <row r="12" customFormat="false" ht="22.5" hidden="false" customHeight="true" outlineLevel="0" collapsed="false">
      <c r="A12" s="7" t="n">
        <v>5</v>
      </c>
      <c r="B12" s="7" t="n">
        <v>137</v>
      </c>
      <c r="C12" s="7" t="n">
        <v>175</v>
      </c>
      <c r="D12" s="7" t="n">
        <f aca="false">AVERAGE(B12:C12)</f>
        <v>156</v>
      </c>
      <c r="E12" s="7" t="n">
        <f aca="false">ROUND(F12*H12,0)</f>
        <v>135</v>
      </c>
      <c r="F12" s="7" t="n">
        <f aca="false">ROUND(F11*1.1,0)</f>
        <v>207</v>
      </c>
      <c r="G12" s="7" t="n">
        <f aca="false">AVERAGE(E12:F12)</f>
        <v>171</v>
      </c>
      <c r="H12" s="7" t="n">
        <v>0.65</v>
      </c>
      <c r="L12" s="23"/>
      <c r="M12" s="23"/>
      <c r="N12" s="23"/>
    </row>
    <row r="13" customFormat="false" ht="15.75" hidden="false" customHeight="false" outlineLevel="0" collapsed="false">
      <c r="I13" s="2" t="s">
        <v>115</v>
      </c>
      <c r="L13" s="23"/>
      <c r="M13" s="23"/>
      <c r="N13" s="23"/>
    </row>
    <row r="14" customFormat="false" ht="15.75" hidden="false" customHeight="false" outlineLevel="0" collapsed="false">
      <c r="L14" s="17"/>
      <c r="M14" s="17"/>
      <c r="N14" s="17"/>
    </row>
    <row r="15" customFormat="false" ht="15.75" hidden="false" customHeight="false" outlineLevel="0" collapsed="false">
      <c r="M15" s="28"/>
    </row>
    <row r="16" customFormat="false" ht="15.75" hidden="false" customHeight="false" outlineLevel="0" collapsed="false">
      <c r="A16" s="19" t="s">
        <v>68</v>
      </c>
      <c r="B16" s="19"/>
      <c r="C16" s="19"/>
      <c r="D16" s="8"/>
    </row>
    <row r="17" customFormat="false" ht="15.75" hidden="false" customHeight="false" outlineLevel="0" collapsed="false">
      <c r="A17" s="6" t="s">
        <v>69</v>
      </c>
      <c r="B17" s="6" t="s">
        <v>70</v>
      </c>
      <c r="C17" s="19" t="s">
        <v>71</v>
      </c>
      <c r="D17" s="19" t="s">
        <v>94</v>
      </c>
      <c r="E17" s="6" t="s">
        <v>116</v>
      </c>
      <c r="F17" s="6" t="s">
        <v>89</v>
      </c>
    </row>
    <row r="18" customFormat="false" ht="15.75" hidden="false" customHeight="false" outlineLevel="0" collapsed="false">
      <c r="A18" s="13" t="s">
        <v>85</v>
      </c>
      <c r="B18" s="13" t="s">
        <v>117</v>
      </c>
      <c r="C18" s="13" t="s">
        <v>118</v>
      </c>
      <c r="D18" s="13" t="s">
        <v>119</v>
      </c>
      <c r="E18" s="13" t="s">
        <v>120</v>
      </c>
      <c r="F18" s="13" t="s">
        <v>121</v>
      </c>
      <c r="H18" s="29"/>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36" hidden="false" customHeight="true" outlineLevel="0" collapsed="false">
      <c r="A22" s="30" t="s">
        <v>122</v>
      </c>
      <c r="B22" s="30" t="s">
        <v>8</v>
      </c>
      <c r="C22" s="30" t="s">
        <v>36</v>
      </c>
      <c r="D22" s="18" t="s">
        <v>123</v>
      </c>
    </row>
  </sheetData>
  <mergeCells count="2">
    <mergeCell ref="B3:G3"/>
    <mergeCell ref="A16:C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0" min="10"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52</v>
      </c>
      <c r="C6" s="7" t="n">
        <v>99</v>
      </c>
      <c r="D6" s="7" t="n">
        <f aca="false">AVERAGE(B6:C6)</f>
        <v>75.5</v>
      </c>
      <c r="E6" s="7" t="n">
        <f aca="false">ROUND(F6*H6,0)</f>
        <v>57</v>
      </c>
      <c r="F6" s="7" t="n">
        <f aca="false">ROUND(F7 * 0.9,0)</f>
        <v>113</v>
      </c>
      <c r="G6" s="7" t="n">
        <f aca="false">AVERAGE(E6:F6)</f>
        <v>85</v>
      </c>
      <c r="H6" s="7" t="n">
        <v>0.5</v>
      </c>
    </row>
    <row r="7" customFormat="false" ht="22.5" hidden="false" customHeight="true" outlineLevel="0" collapsed="false">
      <c r="A7" s="7" t="n">
        <v>0</v>
      </c>
      <c r="B7" s="7" t="n">
        <v>55</v>
      </c>
      <c r="C7" s="7" t="n">
        <v>105</v>
      </c>
      <c r="D7" s="7" t="n">
        <f aca="false">AVERAGE(B7:C7)</f>
        <v>80</v>
      </c>
      <c r="E7" s="7" t="n">
        <f aca="false">ROUND(F7*H7,0)</f>
        <v>63</v>
      </c>
      <c r="F7" s="7" t="n">
        <v>126</v>
      </c>
      <c r="G7" s="7" t="n">
        <f aca="false">AVERAGE(E7:F7)</f>
        <v>94.5</v>
      </c>
      <c r="H7" s="7" t="n">
        <v>0.5</v>
      </c>
    </row>
    <row r="8" customFormat="false" ht="22.5" hidden="false" customHeight="true" outlineLevel="0" collapsed="false">
      <c r="A8" s="7" t="n">
        <v>1</v>
      </c>
      <c r="B8" s="7" t="n">
        <v>61</v>
      </c>
      <c r="C8" s="7" t="n">
        <v>117</v>
      </c>
      <c r="D8" s="7" t="n">
        <f aca="false">AVERAGE(B8:C8)</f>
        <v>89</v>
      </c>
      <c r="E8" s="7" t="n">
        <f aca="false">ROUND(F8*H8,0)</f>
        <v>70</v>
      </c>
      <c r="F8" s="7" t="n">
        <f aca="false">ROUND(F7*1.1,0)</f>
        <v>139</v>
      </c>
      <c r="G8" s="7" t="n">
        <f aca="false">AVERAGE(E8:F8)</f>
        <v>104.5</v>
      </c>
      <c r="H8" s="7" t="n">
        <v>0.5</v>
      </c>
    </row>
    <row r="9" customFormat="false" ht="22.5" hidden="false" customHeight="true" outlineLevel="0" collapsed="false">
      <c r="A9" s="7" t="n">
        <v>2</v>
      </c>
      <c r="B9" s="7" t="n">
        <v>68</v>
      </c>
      <c r="C9" s="7" t="n">
        <v>130</v>
      </c>
      <c r="D9" s="7" t="n">
        <f aca="false">AVERAGE(B9:C9)</f>
        <v>99</v>
      </c>
      <c r="E9" s="7" t="n">
        <f aca="false">ROUND(F9*H9,0)</f>
        <v>77</v>
      </c>
      <c r="F9" s="7" t="n">
        <f aca="false">ROUND(F8*1.1,0)</f>
        <v>153</v>
      </c>
      <c r="G9" s="7" t="n">
        <f aca="false">AVERAGE(E9:F9)</f>
        <v>115</v>
      </c>
      <c r="H9" s="7" t="n">
        <v>0.5</v>
      </c>
    </row>
    <row r="10" customFormat="false" ht="22.5" hidden="false" customHeight="true" outlineLevel="0" collapsed="false">
      <c r="A10" s="7" t="n">
        <v>3</v>
      </c>
      <c r="B10" s="7" t="n">
        <v>75</v>
      </c>
      <c r="C10" s="7" t="n">
        <v>144</v>
      </c>
      <c r="D10" s="7" t="n">
        <f aca="false">AVERAGE(B10:C10)</f>
        <v>109.5</v>
      </c>
      <c r="E10" s="7" t="n">
        <f aca="false">ROUND(F10*H10,0)</f>
        <v>84</v>
      </c>
      <c r="F10" s="7" t="n">
        <f aca="false">ROUND(F9*1.1,0)</f>
        <v>168</v>
      </c>
      <c r="G10" s="7" t="n">
        <f aca="false">AVERAGE(E10:F10)</f>
        <v>126</v>
      </c>
      <c r="H10" s="7" t="n">
        <v>0.5</v>
      </c>
    </row>
    <row r="11" customFormat="false" ht="22.5" hidden="false" customHeight="true" outlineLevel="0" collapsed="false">
      <c r="A11" s="7" t="n">
        <v>4</v>
      </c>
      <c r="B11" s="7" t="n">
        <v>83</v>
      </c>
      <c r="C11" s="7" t="n">
        <v>160</v>
      </c>
      <c r="D11" s="7" t="n">
        <f aca="false">AVERAGE(B11:C11)</f>
        <v>121.5</v>
      </c>
      <c r="E11" s="7" t="n">
        <f aca="false">ROUND(F11*H11,0)</f>
        <v>93</v>
      </c>
      <c r="F11" s="7" t="n">
        <f aca="false">ROUND(F10*1.1,0)</f>
        <v>185</v>
      </c>
      <c r="G11" s="7" t="n">
        <f aca="false">AVERAGE(E11:F11)</f>
        <v>139</v>
      </c>
      <c r="H11" s="7" t="n">
        <v>0.5</v>
      </c>
    </row>
    <row r="12" customFormat="false" ht="22.5" hidden="false" customHeight="true" outlineLevel="0" collapsed="false">
      <c r="A12" s="7" t="n">
        <v>5</v>
      </c>
      <c r="B12" s="7" t="n">
        <v>92</v>
      </c>
      <c r="C12" s="7" t="n">
        <v>178</v>
      </c>
      <c r="D12" s="7" t="n">
        <f aca="false">AVERAGE(B12:C12)</f>
        <v>135</v>
      </c>
      <c r="E12" s="7" t="n">
        <f aca="false">ROUND(F12*H12,0)</f>
        <v>102</v>
      </c>
      <c r="F12" s="7" t="n">
        <f aca="false">ROUND(F11*1.1,0)</f>
        <v>204</v>
      </c>
      <c r="G12" s="7" t="n">
        <f aca="false">AVERAGE(E12:F12)</f>
        <v>153</v>
      </c>
      <c r="H12" s="7" t="n">
        <v>0.5</v>
      </c>
    </row>
    <row r="14" customFormat="false" ht="15.75" hidden="false" customHeight="false" outlineLevel="0" collapsed="false">
      <c r="A14" s="6" t="s">
        <v>68</v>
      </c>
      <c r="B14" s="6"/>
      <c r="C14" s="6"/>
      <c r="D14" s="6"/>
      <c r="E14" s="6"/>
    </row>
    <row r="15" customFormat="false" ht="21.75" hidden="false" customHeight="true" outlineLevel="0" collapsed="false">
      <c r="A15" s="6" t="s">
        <v>69</v>
      </c>
      <c r="B15" s="6" t="s">
        <v>70</v>
      </c>
      <c r="C15" s="6" t="s">
        <v>71</v>
      </c>
      <c r="D15" s="6" t="s">
        <v>94</v>
      </c>
      <c r="E15" s="6" t="s">
        <v>124</v>
      </c>
    </row>
    <row r="16" customFormat="false" ht="15.75" hidden="false" customHeight="false" outlineLevel="0" collapsed="false">
      <c r="A16" s="14" t="s">
        <v>85</v>
      </c>
      <c r="B16" s="13" t="s">
        <v>125</v>
      </c>
      <c r="C16" s="13" t="s">
        <v>126</v>
      </c>
      <c r="D16" s="13" t="s">
        <v>127</v>
      </c>
      <c r="E16" s="11" t="s">
        <v>128</v>
      </c>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30" t="s">
        <v>129</v>
      </c>
      <c r="B22" s="30" t="s">
        <v>15</v>
      </c>
      <c r="C22" s="30" t="s">
        <v>130</v>
      </c>
      <c r="D22" s="18" t="s">
        <v>35</v>
      </c>
    </row>
    <row r="23" customFormat="false" ht="15.75" hidden="false" customHeight="false" outlineLevel="0" collapsed="false">
      <c r="B23" s="30"/>
      <c r="C23" s="30"/>
      <c r="D23" s="30"/>
      <c r="E23" s="18"/>
    </row>
    <row r="24" customFormat="false" ht="15.75" hidden="false" customHeight="false" outlineLevel="0" collapsed="false">
      <c r="C24" s="30"/>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15.51"/>
    <col collapsed="false" customWidth="true" hidden="false" outlineLevel="0" max="10" min="10" style="1" width="28.88"/>
    <col collapsed="false" customWidth="true" hidden="false" outlineLevel="0" max="12" min="12" style="1" width="2.75"/>
    <col collapsed="false" customWidth="true" hidden="false" outlineLevel="0" max="13" min="13" style="1" width="2.5"/>
    <col collapsed="false" customWidth="true" hidden="false" outlineLevel="0" max="14" min="14" style="1" width="2.63"/>
    <col collapsed="false" customWidth="true" hidden="false" outlineLevel="0" max="16" min="15" style="1" width="3.13"/>
    <col collapsed="false" customWidth="true" hidden="false" outlineLevel="0" max="17" min="17" style="1" width="2.88"/>
    <col collapsed="false" customWidth="true" hidden="false" outlineLevel="0" max="18" min="18" style="1" width="2"/>
    <col collapsed="false" customWidth="true" hidden="false" outlineLevel="0" max="19" min="19" style="1" width="3"/>
    <col collapsed="false" customWidth="true" hidden="false" outlineLevel="0" max="25" min="20" style="1" width="2.75"/>
    <col collapsed="false" customWidth="true" hidden="false" outlineLevel="0" max="26" min="26" style="1" width="2.6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82</v>
      </c>
      <c r="C6" s="7" t="n">
        <v>111</v>
      </c>
      <c r="D6" s="7" t="n">
        <f aca="false">AVERAGE(B6:C6)</f>
        <v>96.5</v>
      </c>
      <c r="E6" s="7" t="n">
        <f aca="false">ROUND(F6*H6,0)</f>
        <v>63</v>
      </c>
      <c r="F6" s="7" t="n">
        <f aca="false">ROUND(F7 * 0.9,0)</f>
        <v>126</v>
      </c>
      <c r="G6" s="7" t="n">
        <f aca="false">AVERAGE(E6:F6)</f>
        <v>94.5</v>
      </c>
      <c r="H6" s="7" t="n">
        <v>0.5</v>
      </c>
    </row>
    <row r="7" customFormat="false" ht="22.5" hidden="false" customHeight="true" outlineLevel="0" collapsed="false">
      <c r="A7" s="7" t="n">
        <v>0</v>
      </c>
      <c r="B7" s="7" t="n">
        <v>84</v>
      </c>
      <c r="C7" s="7" t="n">
        <v>118</v>
      </c>
      <c r="D7" s="7" t="n">
        <f aca="false">AVERAGE(B7:C7)</f>
        <v>101</v>
      </c>
      <c r="E7" s="7" t="n">
        <f aca="false">ROUND(F7*H7,0)</f>
        <v>70</v>
      </c>
      <c r="F7" s="7" t="n">
        <v>140</v>
      </c>
      <c r="G7" s="7" t="n">
        <f aca="false">AVERAGE(E7:F7)</f>
        <v>105</v>
      </c>
      <c r="H7" s="7" t="n">
        <v>0.5</v>
      </c>
    </row>
    <row r="8" customFormat="false" ht="22.5" hidden="false" customHeight="true" outlineLevel="0" collapsed="false">
      <c r="A8" s="7" t="n">
        <v>1</v>
      </c>
      <c r="B8" s="7" t="n">
        <v>88</v>
      </c>
      <c r="C8" s="7" t="n">
        <v>132</v>
      </c>
      <c r="D8" s="7" t="n">
        <f aca="false">AVERAGE(B8:C8)</f>
        <v>110</v>
      </c>
      <c r="E8" s="7" t="n">
        <f aca="false">ROUND(F8*H8,0)</f>
        <v>77</v>
      </c>
      <c r="F8" s="7" t="n">
        <f aca="false">ROUND(F7*1.1,0)</f>
        <v>154</v>
      </c>
      <c r="G8" s="7" t="n">
        <f aca="false">AVERAGE(E8:F8)</f>
        <v>115.5</v>
      </c>
      <c r="H8" s="7" t="n">
        <v>0.5</v>
      </c>
    </row>
    <row r="9" customFormat="false" ht="22.5" hidden="false" customHeight="true" outlineLevel="0" collapsed="false">
      <c r="A9" s="7" t="n">
        <v>2</v>
      </c>
      <c r="B9" s="7" t="n">
        <v>92</v>
      </c>
      <c r="C9" s="7" t="n">
        <v>148</v>
      </c>
      <c r="D9" s="7" t="n">
        <f aca="false">AVERAGE(B9:C9)</f>
        <v>120</v>
      </c>
      <c r="E9" s="7" t="n">
        <f aca="false">ROUND(F9*H9,0)</f>
        <v>85</v>
      </c>
      <c r="F9" s="7" t="n">
        <f aca="false">ROUND(F8*1.1,0)</f>
        <v>169</v>
      </c>
      <c r="G9" s="7" t="n">
        <f aca="false">AVERAGE(E9:F9)</f>
        <v>127</v>
      </c>
      <c r="H9" s="7" t="n">
        <v>0.5</v>
      </c>
    </row>
    <row r="10" customFormat="false" ht="15.75" hidden="false" customHeight="true" outlineLevel="0" collapsed="false">
      <c r="A10" s="7" t="n">
        <v>3</v>
      </c>
      <c r="B10" s="7" t="n">
        <v>97</v>
      </c>
      <c r="C10" s="7" t="n">
        <v>166</v>
      </c>
      <c r="D10" s="7" t="n">
        <f aca="false">AVERAGE(B10:C10)</f>
        <v>131.5</v>
      </c>
      <c r="E10" s="7" t="n">
        <f aca="false">ROUND(F10*H10,0)</f>
        <v>93</v>
      </c>
      <c r="F10" s="7" t="n">
        <f aca="false">ROUND(F9*1.1,0)</f>
        <v>186</v>
      </c>
      <c r="G10" s="7" t="n">
        <f aca="false">AVERAGE(E10:F10)</f>
        <v>139.5</v>
      </c>
      <c r="H10" s="7" t="n">
        <v>0.5</v>
      </c>
      <c r="L10" s="9"/>
      <c r="M10" s="9"/>
      <c r="N10" s="9"/>
      <c r="O10" s="9"/>
      <c r="P10" s="9"/>
      <c r="Q10" s="9"/>
      <c r="R10" s="9"/>
      <c r="T10" s="9"/>
      <c r="U10" s="9"/>
      <c r="V10" s="9"/>
      <c r="W10" s="9"/>
      <c r="X10" s="9"/>
      <c r="Y10" s="9"/>
      <c r="Z10" s="9"/>
    </row>
    <row r="11" customFormat="false" ht="22.5" hidden="false" customHeight="true" outlineLevel="0" collapsed="false">
      <c r="A11" s="7" t="n">
        <v>4</v>
      </c>
      <c r="B11" s="7" t="n">
        <v>102</v>
      </c>
      <c r="C11" s="7" t="n">
        <v>186</v>
      </c>
      <c r="D11" s="7" t="n">
        <f aca="false">AVERAGE(B11:C11)</f>
        <v>144</v>
      </c>
      <c r="E11" s="7" t="n">
        <f aca="false">ROUND(F11*H11,0)</f>
        <v>103</v>
      </c>
      <c r="F11" s="7" t="n">
        <f aca="false">ROUND(F10*1.1,0)</f>
        <v>205</v>
      </c>
      <c r="G11" s="7" t="n">
        <f aca="false">AVERAGE(E11:F11)</f>
        <v>154</v>
      </c>
      <c r="H11" s="7" t="n">
        <v>0.5</v>
      </c>
    </row>
    <row r="12" customFormat="false" ht="22.5" hidden="false" customHeight="true" outlineLevel="0" collapsed="false">
      <c r="A12" s="7" t="n">
        <v>5</v>
      </c>
      <c r="B12" s="7" t="n">
        <v>107</v>
      </c>
      <c r="C12" s="7" t="n">
        <v>208</v>
      </c>
      <c r="D12" s="7" t="n">
        <f aca="false">AVERAGE(B12:C12)</f>
        <v>157.5</v>
      </c>
      <c r="E12" s="7" t="n">
        <f aca="false">ROUND(F12*H12,0)</f>
        <v>113</v>
      </c>
      <c r="F12" s="7" t="n">
        <f aca="false">ROUND(F11*1.1,0)</f>
        <v>226</v>
      </c>
      <c r="G12" s="7" t="n">
        <f aca="false">AVERAGE(E12:F12)</f>
        <v>169.5</v>
      </c>
      <c r="H12" s="7" t="n">
        <v>0.5</v>
      </c>
    </row>
    <row r="14" customFormat="false" ht="15.75" hidden="false" customHeight="false" outlineLevel="0" collapsed="false">
      <c r="A14" s="19" t="s">
        <v>68</v>
      </c>
      <c r="B14" s="19"/>
      <c r="C14" s="19"/>
      <c r="D14" s="19"/>
    </row>
    <row r="15" customFormat="false" ht="15.75" hidden="false" customHeight="false" outlineLevel="0" collapsed="false">
      <c r="A15" s="6" t="s">
        <v>69</v>
      </c>
      <c r="B15" s="6" t="s">
        <v>70</v>
      </c>
      <c r="C15" s="19" t="s">
        <v>71</v>
      </c>
      <c r="D15" s="8" t="s">
        <v>94</v>
      </c>
      <c r="L15" s="25"/>
      <c r="M15" s="25"/>
      <c r="N15" s="25"/>
      <c r="O15" s="25"/>
      <c r="P15" s="25"/>
    </row>
    <row r="16" customFormat="false" ht="15.75" hidden="false" customHeight="false" outlineLevel="0" collapsed="false">
      <c r="A16" s="13" t="s">
        <v>131</v>
      </c>
      <c r="B16" s="13" t="s">
        <v>132</v>
      </c>
      <c r="C16" s="21" t="s">
        <v>133</v>
      </c>
      <c r="D16" s="26" t="s">
        <v>134</v>
      </c>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30" t="s">
        <v>135</v>
      </c>
      <c r="B22" s="30" t="s">
        <v>136</v>
      </c>
      <c r="C22" s="30" t="s">
        <v>137</v>
      </c>
      <c r="D22" s="18" t="s">
        <v>130</v>
      </c>
    </row>
  </sheetData>
  <mergeCells count="4">
    <mergeCell ref="B3:G3"/>
    <mergeCell ref="L10:R10"/>
    <mergeCell ref="T10:Z10"/>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15.51"/>
    <col collapsed="false" customWidth="true" hidden="false" outlineLevel="0" max="10" min="10" style="1" width="28.88"/>
    <col collapsed="false" customWidth="true" hidden="false" outlineLevel="0" max="12" min="12" style="1" width="2.75"/>
    <col collapsed="false" customWidth="true" hidden="false" outlineLevel="0" max="13" min="13" style="1" width="2.5"/>
    <col collapsed="false" customWidth="true" hidden="false" outlineLevel="0" max="14" min="14" style="1" width="2.63"/>
    <col collapsed="false" customWidth="true" hidden="false" outlineLevel="0" max="16" min="15" style="1" width="3.13"/>
    <col collapsed="false" customWidth="true" hidden="false" outlineLevel="0" max="17" min="17" style="1" width="2.88"/>
    <col collapsed="false" customWidth="true" hidden="false" outlineLevel="0" max="18" min="18" style="1" width="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76</v>
      </c>
      <c r="C6" s="7" t="n">
        <v>113</v>
      </c>
      <c r="D6" s="7" t="n">
        <f aca="false">AVERAGE(B6:C6)</f>
        <v>94.5</v>
      </c>
      <c r="E6" s="7" t="n">
        <f aca="false">ROUND(F6*H6,0)</f>
        <v>61</v>
      </c>
      <c r="F6" s="7" t="n">
        <f aca="false">ROUND(F7 * 0.9,0)</f>
        <v>122</v>
      </c>
      <c r="G6" s="7" t="n">
        <f aca="false">AVERAGE(E6:F6)</f>
        <v>91.5</v>
      </c>
      <c r="H6" s="7" t="n">
        <v>0.5</v>
      </c>
    </row>
    <row r="7" customFormat="false" ht="22.5" hidden="false" customHeight="true" outlineLevel="0" collapsed="false">
      <c r="A7" s="7" t="n">
        <v>0</v>
      </c>
      <c r="B7" s="7" t="n">
        <v>78</v>
      </c>
      <c r="C7" s="7" t="n">
        <v>120</v>
      </c>
      <c r="D7" s="7" t="n">
        <f aca="false">AVERAGE(B7:C7)</f>
        <v>99</v>
      </c>
      <c r="E7" s="7" t="n">
        <f aca="false">ROUND(F7*H7,0)</f>
        <v>68</v>
      </c>
      <c r="F7" s="7" t="n">
        <v>136</v>
      </c>
      <c r="G7" s="7" t="n">
        <f aca="false">AVERAGE(E7:F7)</f>
        <v>102</v>
      </c>
      <c r="H7" s="7" t="n">
        <v>0.5</v>
      </c>
    </row>
    <row r="8" customFormat="false" ht="22.5" hidden="false" customHeight="true" outlineLevel="0" collapsed="false">
      <c r="A8" s="7" t="n">
        <v>1</v>
      </c>
      <c r="B8" s="7" t="n">
        <v>82</v>
      </c>
      <c r="C8" s="7" t="n">
        <v>134</v>
      </c>
      <c r="D8" s="7" t="n">
        <f aca="false">AVERAGE(B8:C8)</f>
        <v>108</v>
      </c>
      <c r="E8" s="7" t="n">
        <f aca="false">ROUND(F8*H8,0)</f>
        <v>75</v>
      </c>
      <c r="F8" s="7" t="n">
        <f aca="false">ROUND(F7*1.1,0)</f>
        <v>150</v>
      </c>
      <c r="G8" s="7" t="n">
        <f aca="false">AVERAGE(E8:F8)</f>
        <v>112.5</v>
      </c>
      <c r="H8" s="7" t="n">
        <v>0.5</v>
      </c>
    </row>
    <row r="9" customFormat="false" ht="22.5" hidden="false" customHeight="true" outlineLevel="0" collapsed="false">
      <c r="A9" s="7" t="n">
        <v>2</v>
      </c>
      <c r="B9" s="7" t="n">
        <v>86</v>
      </c>
      <c r="C9" s="7" t="n">
        <v>150</v>
      </c>
      <c r="D9" s="7" t="n">
        <f aca="false">AVERAGE(B9:C9)</f>
        <v>118</v>
      </c>
      <c r="E9" s="7" t="n">
        <f aca="false">ROUND(F9*H9,0)</f>
        <v>83</v>
      </c>
      <c r="F9" s="7" t="n">
        <f aca="false">ROUND(F8*1.1,0)</f>
        <v>165</v>
      </c>
      <c r="G9" s="7" t="n">
        <f aca="false">AVERAGE(E9:F9)</f>
        <v>124</v>
      </c>
      <c r="H9" s="7" t="n">
        <v>0.5</v>
      </c>
    </row>
    <row r="10" customFormat="false" ht="22.5" hidden="false" customHeight="true" outlineLevel="0" collapsed="false">
      <c r="A10" s="7" t="n">
        <v>3</v>
      </c>
      <c r="B10" s="7" t="n">
        <v>90</v>
      </c>
      <c r="C10" s="7" t="n">
        <v>168</v>
      </c>
      <c r="D10" s="7" t="n">
        <f aca="false">AVERAGE(B10:C10)</f>
        <v>129</v>
      </c>
      <c r="E10" s="7" t="n">
        <f aca="false">ROUND(F10*H10,0)</f>
        <v>91</v>
      </c>
      <c r="F10" s="7" t="n">
        <f aca="false">ROUND(F9*1.1,0)</f>
        <v>182</v>
      </c>
      <c r="G10" s="7" t="n">
        <f aca="false">AVERAGE(E10:F10)</f>
        <v>136.5</v>
      </c>
      <c r="H10" s="7" t="n">
        <v>0.5</v>
      </c>
    </row>
    <row r="11" customFormat="false" ht="22.5" hidden="false" customHeight="true" outlineLevel="0" collapsed="false">
      <c r="A11" s="7" t="n">
        <v>4</v>
      </c>
      <c r="B11" s="7" t="n">
        <v>95</v>
      </c>
      <c r="C11" s="7" t="n">
        <v>188</v>
      </c>
      <c r="D11" s="7" t="n">
        <f aca="false">AVERAGE(B11:C11)</f>
        <v>141.5</v>
      </c>
      <c r="E11" s="7" t="n">
        <f aca="false">ROUND(F11*H11,0)</f>
        <v>100</v>
      </c>
      <c r="F11" s="7" t="n">
        <f aca="false">ROUND(F10*1.1,0)</f>
        <v>200</v>
      </c>
      <c r="G11" s="7" t="n">
        <f aca="false">AVERAGE(E11:F11)</f>
        <v>150</v>
      </c>
      <c r="H11" s="7" t="n">
        <v>0.5</v>
      </c>
    </row>
    <row r="12" customFormat="false" ht="16.5" hidden="false" customHeight="true" outlineLevel="0" collapsed="false">
      <c r="A12" s="7" t="n">
        <v>5</v>
      </c>
      <c r="B12" s="7" t="n">
        <v>100</v>
      </c>
      <c r="C12" s="7" t="n">
        <v>211</v>
      </c>
      <c r="D12" s="7" t="n">
        <f aca="false">AVERAGE(B12:C12)</f>
        <v>155.5</v>
      </c>
      <c r="E12" s="7" t="n">
        <f aca="false">ROUND(F12*H12,0)</f>
        <v>110</v>
      </c>
      <c r="F12" s="7" t="n">
        <f aca="false">ROUND(F11*1.1,0)</f>
        <v>220</v>
      </c>
      <c r="G12" s="7" t="n">
        <f aca="false">AVERAGE(E12:F12)</f>
        <v>165</v>
      </c>
      <c r="H12" s="7" t="n">
        <v>0.5</v>
      </c>
    </row>
    <row r="13" customFormat="false" ht="16.5" hidden="false" customHeight="true" outlineLevel="0" collapsed="false">
      <c r="L13" s="9"/>
      <c r="M13" s="9"/>
      <c r="N13" s="9"/>
      <c r="O13" s="9"/>
      <c r="P13" s="9"/>
      <c r="Q13" s="9"/>
      <c r="R13" s="9"/>
    </row>
    <row r="14" customFormat="false" ht="15.75" hidden="false" customHeight="false" outlineLevel="0" collapsed="false">
      <c r="A14" s="19" t="s">
        <v>68</v>
      </c>
      <c r="B14" s="19"/>
      <c r="C14" s="19"/>
      <c r="D14" s="19"/>
    </row>
    <row r="15" customFormat="false" ht="15.75" hidden="false" customHeight="false" outlineLevel="0" collapsed="false">
      <c r="A15" s="6" t="s">
        <v>69</v>
      </c>
      <c r="B15" s="6" t="s">
        <v>70</v>
      </c>
      <c r="C15" s="19" t="s">
        <v>71</v>
      </c>
      <c r="D15" s="31" t="s">
        <v>94</v>
      </c>
      <c r="E15" s="2" t="s">
        <v>124</v>
      </c>
    </row>
    <row r="16" customFormat="false" ht="15.75" hidden="false" customHeight="false" outlineLevel="0" collapsed="false">
      <c r="A16" s="13" t="s">
        <v>138</v>
      </c>
      <c r="B16" s="13" t="s">
        <v>139</v>
      </c>
      <c r="C16" s="21" t="s">
        <v>140</v>
      </c>
      <c r="D16" s="22" t="s">
        <v>141</v>
      </c>
      <c r="E16" s="2" t="s">
        <v>142</v>
      </c>
    </row>
    <row r="19" customFormat="false" ht="15.75" hidden="false" customHeight="false" outlineLevel="0" collapsed="false">
      <c r="L19" s="10"/>
      <c r="M19" s="10"/>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30" t="s">
        <v>13</v>
      </c>
      <c r="B22" s="30" t="s">
        <v>103</v>
      </c>
      <c r="C22" s="30" t="s">
        <v>104</v>
      </c>
      <c r="D22" s="18" t="s">
        <v>108</v>
      </c>
    </row>
  </sheetData>
  <mergeCells count="3">
    <mergeCell ref="B3:G3"/>
    <mergeCell ref="L13:R1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1.12"/>
    <col collapsed="false" customWidth="true" hidden="false" outlineLevel="0" max="10" min="10"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47</v>
      </c>
      <c r="C6" s="7" t="n">
        <v>55</v>
      </c>
      <c r="D6" s="7" t="n">
        <f aca="false">AVERAGE(B6:C6)</f>
        <v>51</v>
      </c>
      <c r="E6" s="7" t="n">
        <f aca="false">ROUND(F6*H6,0)</f>
        <v>54</v>
      </c>
      <c r="F6" s="7" t="n">
        <f aca="false">ROUND(F7 * 0.9,0)</f>
        <v>68</v>
      </c>
      <c r="G6" s="7" t="n">
        <f aca="false">AVERAGE(E6:F6)</f>
        <v>61</v>
      </c>
      <c r="H6" s="7" t="n">
        <v>0.8</v>
      </c>
    </row>
    <row r="7" customFormat="false" ht="22.5" hidden="false" customHeight="true" outlineLevel="0" collapsed="false">
      <c r="A7" s="7" t="n">
        <v>0</v>
      </c>
      <c r="B7" s="7" t="n">
        <v>49</v>
      </c>
      <c r="C7" s="7" t="n">
        <v>58</v>
      </c>
      <c r="D7" s="7" t="n">
        <f aca="false">AVERAGE(B7:C7)</f>
        <v>53.5</v>
      </c>
      <c r="E7" s="7" t="n">
        <f aca="false">ROUND(F7*H7,0)</f>
        <v>61</v>
      </c>
      <c r="F7" s="7" t="n">
        <v>76</v>
      </c>
      <c r="G7" s="7" t="n">
        <f aca="false">AVERAGE(E7:F7)</f>
        <v>68.5</v>
      </c>
      <c r="H7" s="7" t="n">
        <v>0.8</v>
      </c>
    </row>
    <row r="8" customFormat="false" ht="22.5" hidden="false" customHeight="true" outlineLevel="0" collapsed="false">
      <c r="A8" s="7" t="n">
        <v>1</v>
      </c>
      <c r="B8" s="7" t="n">
        <v>54</v>
      </c>
      <c r="C8" s="7" t="n">
        <v>64</v>
      </c>
      <c r="D8" s="7" t="n">
        <f aca="false">AVERAGE(B8:C8)</f>
        <v>59</v>
      </c>
      <c r="E8" s="7" t="n">
        <f aca="false">ROUND(F8*H8,0)</f>
        <v>67</v>
      </c>
      <c r="F8" s="7" t="n">
        <f aca="false">ROUND(F7*1.1,0)</f>
        <v>84</v>
      </c>
      <c r="G8" s="7" t="n">
        <f aca="false">AVERAGE(E8:F8)</f>
        <v>75.5</v>
      </c>
      <c r="H8" s="7" t="n">
        <v>0.8</v>
      </c>
    </row>
    <row r="9" customFormat="false" ht="22.5" hidden="false" customHeight="true" outlineLevel="0" collapsed="false">
      <c r="A9" s="7" t="n">
        <v>2</v>
      </c>
      <c r="B9" s="7" t="n">
        <v>59</v>
      </c>
      <c r="C9" s="7" t="n">
        <v>70</v>
      </c>
      <c r="D9" s="7" t="n">
        <f aca="false">AVERAGE(B9:C9)</f>
        <v>64.5</v>
      </c>
      <c r="E9" s="7" t="n">
        <f aca="false">ROUND(F9*H9,0)</f>
        <v>74</v>
      </c>
      <c r="F9" s="7" t="n">
        <f aca="false">ROUND(F8*1.1,0)</f>
        <v>92</v>
      </c>
      <c r="G9" s="7" t="n">
        <f aca="false">AVERAGE(E9:F9)</f>
        <v>83</v>
      </c>
      <c r="H9" s="7" t="n">
        <v>0.8</v>
      </c>
    </row>
    <row r="10" customFormat="false" ht="22.5" hidden="false" customHeight="true" outlineLevel="0" collapsed="false">
      <c r="A10" s="7" t="n">
        <v>3</v>
      </c>
      <c r="B10" s="7" t="n">
        <v>65</v>
      </c>
      <c r="C10" s="7" t="n">
        <v>77</v>
      </c>
      <c r="D10" s="7" t="n">
        <f aca="false">AVERAGE(B10:C10)</f>
        <v>71</v>
      </c>
      <c r="E10" s="7" t="n">
        <f aca="false">ROUND(F10*H10,0)</f>
        <v>81</v>
      </c>
      <c r="F10" s="7" t="n">
        <f aca="false">ROUND(F9*1.1,0)</f>
        <v>101</v>
      </c>
      <c r="G10" s="7" t="n">
        <f aca="false">AVERAGE(E10:F10)</f>
        <v>91</v>
      </c>
      <c r="H10" s="7" t="n">
        <v>0.8</v>
      </c>
    </row>
    <row r="11" customFormat="false" ht="22.5" hidden="false" customHeight="true" outlineLevel="0" collapsed="false">
      <c r="A11" s="7" t="n">
        <v>4</v>
      </c>
      <c r="B11" s="7" t="n">
        <v>72</v>
      </c>
      <c r="C11" s="7" t="n">
        <v>85</v>
      </c>
      <c r="D11" s="7" t="n">
        <f aca="false">AVERAGE(B11:C11)</f>
        <v>78.5</v>
      </c>
      <c r="E11" s="7" t="n">
        <f aca="false">ROUND(F11*H11,0)</f>
        <v>89</v>
      </c>
      <c r="F11" s="7" t="n">
        <f aca="false">ROUND(F10*1.1,0)</f>
        <v>111</v>
      </c>
      <c r="G11" s="7" t="n">
        <f aca="false">AVERAGE(E11:F11)</f>
        <v>100</v>
      </c>
      <c r="H11" s="7" t="n">
        <v>0.8</v>
      </c>
    </row>
    <row r="12" customFormat="false" ht="22.5" hidden="false" customHeight="true" outlineLevel="0" collapsed="false">
      <c r="A12" s="7" t="n">
        <v>5</v>
      </c>
      <c r="B12" s="7" t="n">
        <v>79</v>
      </c>
      <c r="C12" s="7" t="n">
        <v>94</v>
      </c>
      <c r="D12" s="7" t="n">
        <f aca="false">AVERAGE(B12:C12)</f>
        <v>86.5</v>
      </c>
      <c r="E12" s="7" t="n">
        <f aca="false">ROUND(F12*H12,0)</f>
        <v>98</v>
      </c>
      <c r="F12" s="7" t="n">
        <f aca="false">ROUND(F11*1.1,0)</f>
        <v>122</v>
      </c>
      <c r="G12" s="7" t="n">
        <f aca="false">AVERAGE(E12:F12)</f>
        <v>110</v>
      </c>
      <c r="H12" s="7" t="n">
        <v>0.8</v>
      </c>
    </row>
    <row r="14" customFormat="false" ht="11.25" hidden="false" customHeight="true" outlineLevel="0" collapsed="false">
      <c r="K14" s="2"/>
    </row>
    <row r="15" customFormat="false" ht="15.75" hidden="false" customHeight="false" outlineLevel="0" collapsed="false">
      <c r="A15" s="19" t="s">
        <v>68</v>
      </c>
      <c r="B15" s="19"/>
      <c r="C15" s="19"/>
      <c r="L15" s="15"/>
      <c r="M15" s="15"/>
      <c r="N15" s="15"/>
    </row>
    <row r="16" customFormat="false" ht="39" hidden="false" customHeight="true" outlineLevel="0" collapsed="false">
      <c r="A16" s="6" t="s">
        <v>69</v>
      </c>
      <c r="B16" s="6" t="s">
        <v>70</v>
      </c>
      <c r="C16" s="19" t="s">
        <v>71</v>
      </c>
      <c r="L16" s="2"/>
      <c r="M16" s="2"/>
      <c r="N16" s="2"/>
    </row>
    <row r="17" customFormat="false" ht="138" hidden="false" customHeight="true" outlineLevel="0" collapsed="false">
      <c r="A17" s="13" t="s">
        <v>143</v>
      </c>
      <c r="B17" s="13" t="s">
        <v>144</v>
      </c>
      <c r="C17" s="21" t="s">
        <v>85</v>
      </c>
      <c r="L17" s="18"/>
      <c r="M17" s="18"/>
      <c r="N17" s="18"/>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30" t="s">
        <v>123</v>
      </c>
      <c r="B22" s="30" t="s">
        <v>135</v>
      </c>
      <c r="C22" s="30" t="s">
        <v>32</v>
      </c>
      <c r="D22" s="18" t="s">
        <v>13</v>
      </c>
    </row>
  </sheetData>
  <mergeCells count="3">
    <mergeCell ref="B3:G3"/>
    <mergeCell ref="A15:C15"/>
    <mergeCell ref="L15:N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2.75"/>
    <col collapsed="false" customWidth="true" hidden="false" outlineLevel="0" max="10" min="10" style="1" width="2.5"/>
    <col collapsed="false" customWidth="true" hidden="false" outlineLevel="0" max="11" min="11" style="1" width="2.63"/>
    <col collapsed="false" customWidth="true" hidden="false" outlineLevel="0" max="18" min="12" style="1" width="3.1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95</v>
      </c>
      <c r="C6" s="7" t="n">
        <v>123</v>
      </c>
      <c r="D6" s="7" t="n">
        <f aca="false">AVERAGE(B6:C6)</f>
        <v>109</v>
      </c>
      <c r="E6" s="7" t="n">
        <f aca="false">ROUND(F6*H6,0)</f>
        <v>94</v>
      </c>
      <c r="F6" s="7" t="n">
        <f aca="false">ROUND(F7 * 0.9,0)</f>
        <v>117</v>
      </c>
      <c r="G6" s="7" t="n">
        <f aca="false">AVERAGE(E6:F6)</f>
        <v>105.5</v>
      </c>
      <c r="H6" s="7" t="n">
        <v>0.8</v>
      </c>
    </row>
    <row r="7" customFormat="false" ht="22.5" hidden="false" customHeight="true" outlineLevel="0" collapsed="false">
      <c r="A7" s="7" t="n">
        <v>0</v>
      </c>
      <c r="B7" s="7" t="n">
        <v>100</v>
      </c>
      <c r="C7" s="7" t="n">
        <v>130</v>
      </c>
      <c r="D7" s="7" t="n">
        <f aca="false">AVERAGE(B7:C7)</f>
        <v>115</v>
      </c>
      <c r="E7" s="7" t="n">
        <f aca="false">ROUND(F7*H7,0)</f>
        <v>104</v>
      </c>
      <c r="F7" s="7" t="n">
        <v>130</v>
      </c>
      <c r="G7" s="7" t="n">
        <f aca="false">AVERAGE(E7:F7)</f>
        <v>117</v>
      </c>
      <c r="H7" s="7" t="n">
        <v>0.8</v>
      </c>
    </row>
    <row r="8" customFormat="false" ht="22.5" hidden="false" customHeight="true" outlineLevel="0" collapsed="false">
      <c r="A8" s="7" t="n">
        <v>1</v>
      </c>
      <c r="B8" s="7" t="n">
        <v>110</v>
      </c>
      <c r="C8" s="7" t="n">
        <v>143</v>
      </c>
      <c r="D8" s="7" t="n">
        <f aca="false">AVERAGE(B8:C8)</f>
        <v>126.5</v>
      </c>
      <c r="E8" s="7" t="n">
        <f aca="false">ROUND(F8*H8,0)</f>
        <v>114</v>
      </c>
      <c r="F8" s="7" t="n">
        <f aca="false">ROUND(F7*1.1,0)</f>
        <v>143</v>
      </c>
      <c r="G8" s="7" t="n">
        <f aca="false">AVERAGE(E8:F8)</f>
        <v>128.5</v>
      </c>
      <c r="H8" s="7" t="n">
        <v>0.8</v>
      </c>
    </row>
    <row r="9" customFormat="false" ht="22.5" hidden="false" customHeight="true" outlineLevel="0" collapsed="false">
      <c r="A9" s="7" t="n">
        <v>2</v>
      </c>
      <c r="B9" s="7" t="n">
        <v>121</v>
      </c>
      <c r="C9" s="7" t="n">
        <v>157</v>
      </c>
      <c r="D9" s="7" t="n">
        <f aca="false">AVERAGE(B9:C9)</f>
        <v>139</v>
      </c>
      <c r="E9" s="7" t="n">
        <f aca="false">ROUND(F9*H9,0)</f>
        <v>126</v>
      </c>
      <c r="F9" s="7" t="n">
        <f aca="false">ROUND(F8*1.1,0)</f>
        <v>157</v>
      </c>
      <c r="G9" s="7" t="n">
        <f aca="false">AVERAGE(E9:F9)</f>
        <v>141.5</v>
      </c>
      <c r="H9" s="7" t="n">
        <v>0.8</v>
      </c>
    </row>
    <row r="10" customFormat="false" ht="22.5" hidden="false" customHeight="true" outlineLevel="0" collapsed="false">
      <c r="A10" s="7" t="n">
        <v>3</v>
      </c>
      <c r="B10" s="7" t="n">
        <v>133</v>
      </c>
      <c r="C10" s="7" t="n">
        <v>173</v>
      </c>
      <c r="D10" s="7" t="n">
        <f aca="false">AVERAGE(B10:C10)</f>
        <v>153</v>
      </c>
      <c r="E10" s="7" t="n">
        <f aca="false">ROUND(F10*H10,0)</f>
        <v>138</v>
      </c>
      <c r="F10" s="7" t="n">
        <f aca="false">ROUND(F9*1.1,0)</f>
        <v>173</v>
      </c>
      <c r="G10" s="7" t="n">
        <f aca="false">AVERAGE(E10:F10)</f>
        <v>155.5</v>
      </c>
      <c r="H10" s="7" t="n">
        <v>0.8</v>
      </c>
    </row>
    <row r="11" customFormat="false" ht="22.5" hidden="false" customHeight="true" outlineLevel="0" collapsed="false">
      <c r="A11" s="7" t="n">
        <v>4</v>
      </c>
      <c r="B11" s="7" t="n">
        <v>146</v>
      </c>
      <c r="C11" s="7" t="n">
        <v>190</v>
      </c>
      <c r="D11" s="7" t="n">
        <f aca="false">AVERAGE(B11:C11)</f>
        <v>168</v>
      </c>
      <c r="E11" s="7" t="n">
        <f aca="false">ROUND(F11*H11,0)</f>
        <v>152</v>
      </c>
      <c r="F11" s="7" t="n">
        <f aca="false">ROUND(F10*1.1,0)</f>
        <v>190</v>
      </c>
      <c r="G11" s="7" t="n">
        <f aca="false">AVERAGE(E11:F11)</f>
        <v>171</v>
      </c>
      <c r="H11" s="7" t="n">
        <v>0.8</v>
      </c>
    </row>
    <row r="12" customFormat="false" ht="22.5" hidden="false" customHeight="true" outlineLevel="0" collapsed="false">
      <c r="A12" s="7" t="n">
        <v>5</v>
      </c>
      <c r="B12" s="7" t="n">
        <v>161</v>
      </c>
      <c r="C12" s="7" t="n">
        <v>209</v>
      </c>
      <c r="D12" s="7" t="n">
        <f aca="false">AVERAGE(B12:C12)</f>
        <v>185</v>
      </c>
      <c r="E12" s="7" t="n">
        <f aca="false">ROUND(F12*H12,0)</f>
        <v>167</v>
      </c>
      <c r="F12" s="7" t="n">
        <f aca="false">ROUND(F11*1.1,0)</f>
        <v>209</v>
      </c>
      <c r="G12" s="7" t="n">
        <f aca="false">AVERAGE(E12:F12)</f>
        <v>188</v>
      </c>
      <c r="H12" s="7" t="n">
        <v>0.8</v>
      </c>
    </row>
    <row r="14" customFormat="false" ht="15.75" hidden="false" customHeight="false" outlineLevel="0" collapsed="false">
      <c r="A14" s="19" t="s">
        <v>68</v>
      </c>
      <c r="B14" s="19"/>
      <c r="C14" s="19"/>
      <c r="D14" s="19"/>
    </row>
    <row r="15" customFormat="false" ht="15.75" hidden="false" customHeight="false" outlineLevel="0" collapsed="false">
      <c r="A15" s="6" t="s">
        <v>69</v>
      </c>
      <c r="B15" s="6" t="s">
        <v>70</v>
      </c>
      <c r="C15" s="19" t="s">
        <v>71</v>
      </c>
      <c r="D15" s="8" t="s">
        <v>94</v>
      </c>
    </row>
    <row r="16" customFormat="false" ht="154.5" hidden="false" customHeight="true" outlineLevel="0" collapsed="false">
      <c r="A16" s="13" t="s">
        <v>145</v>
      </c>
      <c r="B16" s="13" t="s">
        <v>146</v>
      </c>
      <c r="C16" s="21" t="s">
        <v>147</v>
      </c>
      <c r="D16" s="26" t="s">
        <v>148</v>
      </c>
      <c r="I16" s="15" t="s">
        <v>149</v>
      </c>
      <c r="J16" s="15"/>
      <c r="K16" s="15"/>
      <c r="L16" s="15"/>
      <c r="M16" s="15"/>
    </row>
    <row r="17" customFormat="false" ht="15.75" hidden="false" customHeight="false" outlineLevel="0" collapsed="false">
      <c r="A17" s="2"/>
      <c r="L17" s="10"/>
    </row>
    <row r="18" customFormat="false" ht="15.75" hidden="false" customHeight="false" outlineLevel="0" collapsed="false">
      <c r="J18" s="23"/>
      <c r="K18" s="10"/>
      <c r="M18" s="10"/>
    </row>
    <row r="19" customFormat="false" ht="15.75" hidden="false" customHeight="false" outlineLevel="0" collapsed="false">
      <c r="I19" s="23"/>
      <c r="J19" s="16"/>
      <c r="K19" s="23"/>
      <c r="M19" s="10"/>
      <c r="N19" s="10"/>
    </row>
    <row r="20" customFormat="false" ht="15.75" hidden="false" customHeight="false" outlineLevel="0" collapsed="false">
      <c r="A20" s="2" t="s">
        <v>84</v>
      </c>
      <c r="J20" s="23"/>
      <c r="K20" s="10"/>
      <c r="M20" s="10"/>
    </row>
    <row r="21" customFormat="false" ht="15.75" hidden="false" customHeight="false" outlineLevel="0" collapsed="false">
      <c r="A21" s="2" t="s">
        <v>150</v>
      </c>
      <c r="B21" s="2" t="s">
        <v>77</v>
      </c>
      <c r="C21" s="2" t="s">
        <v>78</v>
      </c>
      <c r="D21" s="2" t="s">
        <v>79</v>
      </c>
      <c r="I21" s="25"/>
      <c r="J21" s="25"/>
      <c r="K21" s="25"/>
      <c r="L21" s="10"/>
      <c r="M21" s="25"/>
      <c r="N21" s="25"/>
      <c r="O21" s="25"/>
      <c r="P21" s="25"/>
      <c r="Q21" s="25"/>
      <c r="R21" s="25"/>
    </row>
    <row r="22" customFormat="false" ht="15.75" hidden="false" customHeight="false" outlineLevel="0" collapsed="false">
      <c r="A22" s="2" t="s">
        <v>7</v>
      </c>
      <c r="B22" s="30" t="s">
        <v>15</v>
      </c>
      <c r="C22" s="30" t="s">
        <v>107</v>
      </c>
      <c r="D22" s="18" t="s">
        <v>151</v>
      </c>
      <c r="L22" s="10"/>
    </row>
    <row r="23" customFormat="false" ht="15.75" hidden="false" customHeight="false" outlineLevel="0" collapsed="false">
      <c r="L23" s="10"/>
    </row>
  </sheetData>
  <mergeCells count="3">
    <mergeCell ref="B3:G3"/>
    <mergeCell ref="A14:D14"/>
    <mergeCell ref="I16:M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0" min="10" style="1" width="24.52"/>
    <col collapsed="false" customWidth="true" hidden="false" outlineLevel="0" max="18" min="11" style="1" width="2.75"/>
    <col collapsed="false" customWidth="true" hidden="false" outlineLevel="0" max="19" min="19" style="1" width="2.25"/>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67</v>
      </c>
      <c r="C6" s="7" t="n">
        <v>81</v>
      </c>
      <c r="D6" s="7" t="n">
        <f aca="false">AVERAGE(B6:C6)</f>
        <v>74</v>
      </c>
      <c r="E6" s="7" t="n">
        <f aca="false">ROUND(F6*H6,0)</f>
        <v>69</v>
      </c>
      <c r="F6" s="7" t="n">
        <f aca="false">ROUND(F7 * 0.9,0)</f>
        <v>86</v>
      </c>
      <c r="G6" s="7" t="n">
        <f aca="false">AVERAGE(E6:F6)</f>
        <v>77.5</v>
      </c>
      <c r="H6" s="7" t="n">
        <v>0.8</v>
      </c>
    </row>
    <row r="7" customFormat="false" ht="22.5" hidden="false" customHeight="true" outlineLevel="0" collapsed="false">
      <c r="A7" s="7" t="n">
        <v>0</v>
      </c>
      <c r="B7" s="7" t="n">
        <v>70</v>
      </c>
      <c r="C7" s="7" t="n">
        <v>85</v>
      </c>
      <c r="D7" s="7" t="n">
        <f aca="false">AVERAGE(B7:C7)</f>
        <v>77.5</v>
      </c>
      <c r="E7" s="7" t="n">
        <f aca="false">ROUND(F7*H7,0)</f>
        <v>76</v>
      </c>
      <c r="F7" s="7" t="n">
        <v>95</v>
      </c>
      <c r="G7" s="7" t="n">
        <f aca="false">AVERAGE(E7:F7)</f>
        <v>85.5</v>
      </c>
      <c r="H7" s="7" t="n">
        <v>0.8</v>
      </c>
    </row>
    <row r="8" customFormat="false" ht="22.5" hidden="false" customHeight="true" outlineLevel="0" collapsed="false">
      <c r="A8" s="7" t="n">
        <v>1</v>
      </c>
      <c r="B8" s="7" t="n">
        <v>77</v>
      </c>
      <c r="C8" s="7" t="n">
        <v>94</v>
      </c>
      <c r="D8" s="7" t="n">
        <f aca="false">AVERAGE(B8:C8)</f>
        <v>85.5</v>
      </c>
      <c r="E8" s="7" t="n">
        <f aca="false">ROUND(F8*H8,0)</f>
        <v>84</v>
      </c>
      <c r="F8" s="7" t="n">
        <f aca="false">ROUND(F7*1.1,0)</f>
        <v>105</v>
      </c>
      <c r="G8" s="7" t="n">
        <f aca="false">AVERAGE(E8:F8)</f>
        <v>94.5</v>
      </c>
      <c r="H8" s="7" t="n">
        <v>0.8</v>
      </c>
    </row>
    <row r="9" customFormat="false" ht="22.5" hidden="false" customHeight="true" outlineLevel="0" collapsed="false">
      <c r="A9" s="7" t="n">
        <v>2</v>
      </c>
      <c r="B9" s="7" t="n">
        <v>85</v>
      </c>
      <c r="C9" s="7" t="n">
        <v>103</v>
      </c>
      <c r="D9" s="7" t="n">
        <f aca="false">AVERAGE(B9:C9)</f>
        <v>94</v>
      </c>
      <c r="E9" s="7" t="n">
        <f aca="false">ROUND(F9*H9,0)</f>
        <v>93</v>
      </c>
      <c r="F9" s="7" t="n">
        <f aca="false">ROUND(F8*1.1,0)</f>
        <v>116</v>
      </c>
      <c r="G9" s="7" t="n">
        <f aca="false">AVERAGE(E9:F9)</f>
        <v>104.5</v>
      </c>
      <c r="H9" s="7" t="n">
        <v>0.8</v>
      </c>
    </row>
    <row r="10" customFormat="false" ht="22.5" hidden="false" customHeight="true" outlineLevel="0" collapsed="false">
      <c r="A10" s="7" t="n">
        <v>3</v>
      </c>
      <c r="B10" s="7" t="n">
        <v>94</v>
      </c>
      <c r="C10" s="7" t="n">
        <v>113</v>
      </c>
      <c r="D10" s="7" t="n">
        <f aca="false">AVERAGE(B10:C10)</f>
        <v>103.5</v>
      </c>
      <c r="E10" s="7" t="n">
        <f aca="false">ROUND(F10*H10,0)</f>
        <v>102</v>
      </c>
      <c r="F10" s="7" t="n">
        <f aca="false">ROUND(F9*1.1,0)</f>
        <v>128</v>
      </c>
      <c r="G10" s="7" t="n">
        <f aca="false">AVERAGE(E10:F10)</f>
        <v>115</v>
      </c>
      <c r="H10" s="7" t="n">
        <v>0.8</v>
      </c>
    </row>
    <row r="11" customFormat="false" ht="22.5" hidden="false" customHeight="true" outlineLevel="0" collapsed="false">
      <c r="A11" s="7" t="n">
        <v>4</v>
      </c>
      <c r="B11" s="7" t="n">
        <v>103</v>
      </c>
      <c r="C11" s="7" t="n">
        <v>124</v>
      </c>
      <c r="D11" s="7" t="n">
        <f aca="false">AVERAGE(B11:C11)</f>
        <v>113.5</v>
      </c>
      <c r="E11" s="7" t="n">
        <f aca="false">ROUND(F11*H11,0)</f>
        <v>113</v>
      </c>
      <c r="F11" s="7" t="n">
        <f aca="false">ROUND(F10*1.1,0)</f>
        <v>141</v>
      </c>
      <c r="G11" s="7" t="n">
        <f aca="false">AVERAGE(E11:F11)</f>
        <v>127</v>
      </c>
      <c r="H11" s="7" t="n">
        <v>0.8</v>
      </c>
    </row>
    <row r="12" customFormat="false" ht="22.5" hidden="false" customHeight="true" outlineLevel="0" collapsed="false">
      <c r="A12" s="7" t="n">
        <v>5</v>
      </c>
      <c r="B12" s="7" t="n">
        <v>113</v>
      </c>
      <c r="C12" s="7" t="n">
        <v>146</v>
      </c>
      <c r="D12" s="7" t="n">
        <f aca="false">AVERAGE(B12:C12)</f>
        <v>129.5</v>
      </c>
      <c r="E12" s="7" t="n">
        <f aca="false">ROUND(F12*H12,0)</f>
        <v>124</v>
      </c>
      <c r="F12" s="7" t="n">
        <f aca="false">ROUND(F11*1.1,0)</f>
        <v>155</v>
      </c>
      <c r="G12" s="7" t="n">
        <f aca="false">AVERAGE(E12:F12)</f>
        <v>139.5</v>
      </c>
      <c r="H12" s="7" t="n">
        <v>0.8</v>
      </c>
    </row>
    <row r="13" customFormat="false" ht="15.75" hidden="false" customHeight="false" outlineLevel="0" collapsed="false">
      <c r="K13" s="8"/>
      <c r="L13" s="2"/>
    </row>
    <row r="14" customFormat="false" ht="15.75" hidden="false" customHeight="false" outlineLevel="0" collapsed="false">
      <c r="A14" s="6" t="s">
        <v>68</v>
      </c>
      <c r="B14" s="6"/>
      <c r="C14" s="6"/>
      <c r="K14" s="2"/>
    </row>
    <row r="15" customFormat="false" ht="51.75" hidden="false" customHeight="true" outlineLevel="0" collapsed="false">
      <c r="A15" s="6" t="s">
        <v>69</v>
      </c>
      <c r="B15" s="6" t="s">
        <v>70</v>
      </c>
      <c r="C15" s="6" t="s">
        <v>71</v>
      </c>
      <c r="D15" s="6" t="s">
        <v>152</v>
      </c>
    </row>
    <row r="16" customFormat="false" ht="59.25" hidden="false" customHeight="true" outlineLevel="0" collapsed="false">
      <c r="A16" s="11" t="s">
        <v>153</v>
      </c>
      <c r="B16" s="11" t="s">
        <v>154</v>
      </c>
      <c r="C16" s="11" t="s">
        <v>155</v>
      </c>
      <c r="D16" s="11" t="s">
        <v>156</v>
      </c>
      <c r="K16" s="9"/>
      <c r="L16" s="9"/>
      <c r="M16" s="9"/>
      <c r="N16" s="9"/>
      <c r="O16" s="9"/>
    </row>
    <row r="18" customFormat="false" ht="15.75" hidden="false" customHeight="false" outlineLevel="0" collapsed="false">
      <c r="M18" s="10"/>
    </row>
    <row r="19" customFormat="false" ht="15.75" hidden="false" customHeight="false" outlineLevel="0" collapsed="false">
      <c r="M19" s="10"/>
    </row>
    <row r="20" customFormat="false" ht="15.75" hidden="false" customHeight="false" outlineLevel="0" collapsed="false">
      <c r="A20" s="2" t="s">
        <v>84</v>
      </c>
      <c r="M20" s="10"/>
    </row>
    <row r="21" customFormat="false" ht="15.75" hidden="false" customHeight="false" outlineLevel="0" collapsed="false">
      <c r="A21" s="2" t="s">
        <v>76</v>
      </c>
      <c r="B21" s="2" t="s">
        <v>77</v>
      </c>
      <c r="C21" s="2" t="s">
        <v>78</v>
      </c>
      <c r="D21" s="2" t="s">
        <v>79</v>
      </c>
      <c r="M21" s="10"/>
    </row>
    <row r="22" customFormat="false" ht="15.75" hidden="false" customHeight="false" outlineLevel="0" collapsed="false">
      <c r="A22" s="30" t="s">
        <v>15</v>
      </c>
      <c r="B22" s="30" t="s">
        <v>2</v>
      </c>
      <c r="C22" s="30" t="s">
        <v>16</v>
      </c>
      <c r="D22" s="18" t="s">
        <v>34</v>
      </c>
      <c r="M22" s="10"/>
    </row>
    <row r="23" customFormat="false" ht="15.75" hidden="false" customHeight="false" outlineLevel="0" collapsed="false">
      <c r="M23" s="10"/>
    </row>
    <row r="24" customFormat="false" ht="15.75" hidden="false" customHeight="false" outlineLevel="0" collapsed="false">
      <c r="M24" s="10"/>
    </row>
    <row r="25" customFormat="false" ht="15.75" hidden="false" customHeight="false" outlineLevel="0" collapsed="false">
      <c r="M25" s="32"/>
    </row>
  </sheetData>
  <mergeCells count="3">
    <mergeCell ref="B3:G3"/>
    <mergeCell ref="A14:C14"/>
    <mergeCell ref="K16:O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15.51"/>
    <col collapsed="false" customWidth="true" hidden="false" outlineLevel="0" max="10" min="10" style="1" width="28.88"/>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109</v>
      </c>
      <c r="C6" s="7" t="n">
        <v>218</v>
      </c>
      <c r="D6" s="7" t="n">
        <f aca="false">AVERAGE(B6:C6)</f>
        <v>163.5</v>
      </c>
      <c r="E6" s="7" t="n">
        <f aca="false">ROUND(F6*H6,0)</f>
        <v>99</v>
      </c>
      <c r="F6" s="7" t="n">
        <f aca="false">ROUND(F7 * 0.9,0)</f>
        <v>153</v>
      </c>
      <c r="G6" s="7" t="n">
        <f aca="false">AVERAGE(E6:F6)</f>
        <v>126</v>
      </c>
      <c r="H6" s="7" t="n">
        <v>0.65</v>
      </c>
    </row>
    <row r="7" customFormat="false" ht="22.5" hidden="false" customHeight="true" outlineLevel="0" collapsed="false">
      <c r="A7" s="7" t="n">
        <v>0</v>
      </c>
      <c r="B7" s="7" t="n">
        <v>145</v>
      </c>
      <c r="C7" s="7" t="n">
        <v>185</v>
      </c>
      <c r="D7" s="7" t="n">
        <f aca="false">AVERAGE(B7:C7)</f>
        <v>165</v>
      </c>
      <c r="E7" s="7" t="n">
        <f aca="false">ROUND(F7*H7,0)</f>
        <v>111</v>
      </c>
      <c r="F7" s="7" t="n">
        <v>170</v>
      </c>
      <c r="G7" s="7" t="n">
        <f aca="false">AVERAGE(E7:F7)</f>
        <v>140.5</v>
      </c>
      <c r="H7" s="7" t="n">
        <v>0.65</v>
      </c>
    </row>
    <row r="8" customFormat="false" ht="22.5" hidden="false" customHeight="true" outlineLevel="0" collapsed="false">
      <c r="A8" s="7" t="n">
        <v>1</v>
      </c>
      <c r="B8" s="7" t="n">
        <v>160</v>
      </c>
      <c r="C8" s="7" t="n">
        <v>204</v>
      </c>
      <c r="D8" s="7" t="n">
        <f aca="false">AVERAGE(B8:C8)</f>
        <v>182</v>
      </c>
      <c r="E8" s="7" t="n">
        <f aca="false">ROUND(F8*H8,0)</f>
        <v>122</v>
      </c>
      <c r="F8" s="7" t="n">
        <f aca="false">ROUND(F7*1.1,0)</f>
        <v>187</v>
      </c>
      <c r="G8" s="7" t="n">
        <f aca="false">AVERAGE(E8:F8)</f>
        <v>154.5</v>
      </c>
      <c r="H8" s="7" t="n">
        <v>0.65</v>
      </c>
    </row>
    <row r="9" customFormat="false" ht="22.5" hidden="false" customHeight="true" outlineLevel="0" collapsed="false">
      <c r="A9" s="7" t="n">
        <v>2</v>
      </c>
      <c r="B9" s="7" t="n">
        <v>176</v>
      </c>
      <c r="C9" s="7" t="n">
        <v>224</v>
      </c>
      <c r="D9" s="7" t="n">
        <f aca="false">AVERAGE(B9:C9)</f>
        <v>200</v>
      </c>
      <c r="E9" s="7" t="n">
        <f aca="false">ROUND(F9*H9,0)</f>
        <v>134</v>
      </c>
      <c r="F9" s="7" t="n">
        <f aca="false">ROUND(F8*1.1,0)</f>
        <v>206</v>
      </c>
      <c r="G9" s="7" t="n">
        <f aca="false">AVERAGE(E9:F9)</f>
        <v>170</v>
      </c>
      <c r="H9" s="7" t="n">
        <v>0.65</v>
      </c>
    </row>
    <row r="10" customFormat="false" ht="22.5" hidden="false" customHeight="true" outlineLevel="0" collapsed="false">
      <c r="A10" s="7" t="n">
        <v>3</v>
      </c>
      <c r="B10" s="7" t="n">
        <v>194</v>
      </c>
      <c r="C10" s="7" t="n">
        <v>246</v>
      </c>
      <c r="D10" s="7" t="n">
        <f aca="false">AVERAGE(B10:C10)</f>
        <v>220</v>
      </c>
      <c r="E10" s="7" t="n">
        <f aca="false">ROUND(F10*H10,0)</f>
        <v>148</v>
      </c>
      <c r="F10" s="7" t="n">
        <f aca="false">ROUND(F9*1.1,0)</f>
        <v>227</v>
      </c>
      <c r="G10" s="7" t="n">
        <f aca="false">AVERAGE(E10:F10)</f>
        <v>187.5</v>
      </c>
      <c r="H10" s="7" t="n">
        <v>0.65</v>
      </c>
    </row>
    <row r="11" customFormat="false" ht="22.5" hidden="false" customHeight="true" outlineLevel="0" collapsed="false">
      <c r="A11" s="7" t="n">
        <v>4</v>
      </c>
      <c r="B11" s="7" t="n">
        <v>213</v>
      </c>
      <c r="C11" s="7" t="n">
        <v>271</v>
      </c>
      <c r="D11" s="7" t="n">
        <f aca="false">AVERAGE(B11:C11)</f>
        <v>242</v>
      </c>
      <c r="E11" s="7" t="n">
        <f aca="false">ROUND(F11*H11,0)</f>
        <v>163</v>
      </c>
      <c r="F11" s="7" t="n">
        <f aca="false">ROUND(F10*1.1,0)</f>
        <v>250</v>
      </c>
      <c r="G11" s="7" t="n">
        <f aca="false">AVERAGE(E11:F11)</f>
        <v>206.5</v>
      </c>
      <c r="H11" s="7" t="n">
        <v>0.65</v>
      </c>
    </row>
    <row r="12" customFormat="false" ht="22.5" hidden="false" customHeight="true" outlineLevel="0" collapsed="false">
      <c r="A12" s="7" t="n">
        <v>5</v>
      </c>
      <c r="B12" s="7" t="n">
        <v>234</v>
      </c>
      <c r="C12" s="7" t="n">
        <v>298</v>
      </c>
      <c r="D12" s="7" t="n">
        <f aca="false">AVERAGE(B12:C12)</f>
        <v>266</v>
      </c>
      <c r="E12" s="7" t="n">
        <f aca="false">ROUND(F12*H12,0)</f>
        <v>179</v>
      </c>
      <c r="F12" s="7" t="n">
        <f aca="false">ROUND(F11*1.1,0)</f>
        <v>275</v>
      </c>
      <c r="G12" s="7" t="n">
        <f aca="false">AVERAGE(E12:F12)</f>
        <v>227</v>
      </c>
      <c r="H12" s="7" t="n">
        <v>0.65</v>
      </c>
    </row>
    <row r="13" customFormat="false" ht="16.5" hidden="false" customHeight="true" outlineLevel="0" collapsed="false"/>
    <row r="14" customFormat="false" ht="15.75" hidden="false" customHeight="false" outlineLevel="0" collapsed="false">
      <c r="A14" s="19" t="s">
        <v>68</v>
      </c>
      <c r="B14" s="19"/>
      <c r="C14" s="19"/>
      <c r="D14" s="19"/>
    </row>
    <row r="15" customFormat="false" ht="15.75" hidden="false" customHeight="false" outlineLevel="0" collapsed="false">
      <c r="A15" s="6" t="s">
        <v>69</v>
      </c>
      <c r="B15" s="6" t="s">
        <v>70</v>
      </c>
      <c r="C15" s="19" t="s">
        <v>71</v>
      </c>
      <c r="D15" s="31" t="s">
        <v>94</v>
      </c>
      <c r="E15" s="2" t="s">
        <v>124</v>
      </c>
    </row>
    <row r="16" customFormat="false" ht="135.75" hidden="false" customHeight="true" outlineLevel="0" collapsed="false">
      <c r="A16" s="13" t="s">
        <v>157</v>
      </c>
      <c r="B16" s="13" t="s">
        <v>158</v>
      </c>
      <c r="C16" s="21" t="s">
        <v>159</v>
      </c>
      <c r="D16" s="13" t="s">
        <v>160</v>
      </c>
      <c r="E16" s="18" t="s">
        <v>161</v>
      </c>
    </row>
    <row r="17" customFormat="false" ht="15.75" hidden="false" customHeight="false" outlineLevel="0" collapsed="false">
      <c r="A17" s="2"/>
      <c r="I17" s="2"/>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30" t="s">
        <v>130</v>
      </c>
      <c r="B22" s="30" t="s">
        <v>103</v>
      </c>
      <c r="C22" s="30" t="s">
        <v>123</v>
      </c>
      <c r="D22" s="18" t="s">
        <v>162</v>
      </c>
    </row>
  </sheetData>
  <mergeCells count="2">
    <mergeCell ref="B3:G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15.51"/>
    <col collapsed="false" customWidth="true" hidden="false" outlineLevel="0" max="10" min="10" style="1" width="28.88"/>
    <col collapsed="false" customWidth="true" hidden="false" outlineLevel="0" max="15" min="12" style="1" width="3.1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67</v>
      </c>
      <c r="C6" s="7" t="n">
        <v>110</v>
      </c>
      <c r="D6" s="7" t="n">
        <f aca="false">AVERAGE(B6:C6)</f>
        <v>88.5</v>
      </c>
      <c r="E6" s="7" t="n">
        <f aca="false">ROUND(F6*H6,0)</f>
        <v>78</v>
      </c>
      <c r="F6" s="7" t="n">
        <f aca="false">ROUND(F7 * 0.9,0)</f>
        <v>156</v>
      </c>
      <c r="G6" s="7" t="n">
        <f aca="false">AVERAGE(E6:F6)</f>
        <v>117</v>
      </c>
      <c r="H6" s="7" t="n">
        <v>0.5</v>
      </c>
    </row>
    <row r="7" customFormat="false" ht="22.5" hidden="false" customHeight="true" outlineLevel="0" collapsed="false">
      <c r="A7" s="7" t="n">
        <v>0</v>
      </c>
      <c r="B7" s="7" t="n">
        <v>74</v>
      </c>
      <c r="C7" s="7" t="n">
        <v>117</v>
      </c>
      <c r="D7" s="7" t="n">
        <f aca="false">AVERAGE(B7:C7)</f>
        <v>95.5</v>
      </c>
      <c r="E7" s="7" t="n">
        <f aca="false">ROUND(F7*H7,0)</f>
        <v>87</v>
      </c>
      <c r="F7" s="7" t="n">
        <v>173</v>
      </c>
      <c r="G7" s="7" t="n">
        <f aca="false">AVERAGE(E7:F7)</f>
        <v>130</v>
      </c>
      <c r="H7" s="7" t="n">
        <v>0.5</v>
      </c>
    </row>
    <row r="8" customFormat="false" ht="22.5" hidden="false" customHeight="true" outlineLevel="0" collapsed="false">
      <c r="A8" s="7" t="n">
        <v>1</v>
      </c>
      <c r="B8" s="7" t="n">
        <v>82</v>
      </c>
      <c r="C8" s="7" t="n">
        <v>130</v>
      </c>
      <c r="D8" s="7" t="n">
        <f aca="false">AVERAGE(B8:C8)</f>
        <v>106</v>
      </c>
      <c r="E8" s="7" t="n">
        <f aca="false">ROUND(F8*H8,0)</f>
        <v>95</v>
      </c>
      <c r="F8" s="7" t="n">
        <f aca="false">ROUND(F7*1.1,0)</f>
        <v>190</v>
      </c>
      <c r="G8" s="7" t="n">
        <f aca="false">AVERAGE(E8:F8)</f>
        <v>142.5</v>
      </c>
      <c r="H8" s="7" t="n">
        <v>0.5</v>
      </c>
    </row>
    <row r="9" customFormat="false" ht="22.5" hidden="false" customHeight="true" outlineLevel="0" collapsed="false">
      <c r="A9" s="7" t="n">
        <v>2</v>
      </c>
      <c r="B9" s="7" t="n">
        <v>91</v>
      </c>
      <c r="C9" s="7" t="n">
        <v>144</v>
      </c>
      <c r="D9" s="7" t="n">
        <f aca="false">AVERAGE(B9:C9)</f>
        <v>117.5</v>
      </c>
      <c r="E9" s="7" t="n">
        <f aca="false">ROUND(F9*H9,0)</f>
        <v>105</v>
      </c>
      <c r="F9" s="7" t="n">
        <f aca="false">ROUND(F8*1.1,0)</f>
        <v>209</v>
      </c>
      <c r="G9" s="7" t="n">
        <f aca="false">AVERAGE(E9:F9)</f>
        <v>157</v>
      </c>
      <c r="H9" s="7" t="n">
        <v>0.5</v>
      </c>
    </row>
    <row r="10" customFormat="false" ht="22.5" hidden="false" customHeight="true" outlineLevel="0" collapsed="false">
      <c r="A10" s="7" t="n">
        <v>3</v>
      </c>
      <c r="B10" s="7" t="n">
        <v>101</v>
      </c>
      <c r="C10" s="7" t="n">
        <v>160</v>
      </c>
      <c r="D10" s="7" t="n">
        <f aca="false">AVERAGE(B10:C10)</f>
        <v>130.5</v>
      </c>
      <c r="E10" s="7" t="n">
        <f aca="false">ROUND(F10*H10,0)</f>
        <v>115</v>
      </c>
      <c r="F10" s="7" t="n">
        <f aca="false">ROUND(F9*1.1,0)</f>
        <v>230</v>
      </c>
      <c r="G10" s="7" t="n">
        <f aca="false">AVERAGE(E10:F10)</f>
        <v>172.5</v>
      </c>
      <c r="H10" s="7" t="n">
        <v>0.5</v>
      </c>
    </row>
    <row r="11" customFormat="false" ht="22.5" hidden="false" customHeight="true" outlineLevel="0" collapsed="false">
      <c r="A11" s="7" t="n">
        <v>4</v>
      </c>
      <c r="B11" s="7" t="n">
        <v>112</v>
      </c>
      <c r="C11" s="7" t="n">
        <v>178</v>
      </c>
      <c r="D11" s="7" t="n">
        <f aca="false">AVERAGE(B11:C11)</f>
        <v>145</v>
      </c>
      <c r="E11" s="7" t="n">
        <f aca="false">ROUND(F11*H11,0)</f>
        <v>127</v>
      </c>
      <c r="F11" s="7" t="n">
        <f aca="false">ROUND(F10*1.1,0)</f>
        <v>253</v>
      </c>
      <c r="G11" s="7" t="n">
        <f aca="false">AVERAGE(E11:F11)</f>
        <v>190</v>
      </c>
      <c r="H11" s="7" t="n">
        <v>0.5</v>
      </c>
    </row>
    <row r="12" customFormat="false" ht="22.5" hidden="false" customHeight="true" outlineLevel="0" collapsed="false">
      <c r="A12" s="7" t="n">
        <v>5</v>
      </c>
      <c r="B12" s="7" t="n">
        <v>124</v>
      </c>
      <c r="C12" s="7" t="n">
        <v>198</v>
      </c>
      <c r="D12" s="7" t="n">
        <f aca="false">AVERAGE(B12:C12)</f>
        <v>161</v>
      </c>
      <c r="E12" s="7" t="n">
        <f aca="false">ROUND(F12*H12,0)</f>
        <v>139</v>
      </c>
      <c r="F12" s="7" t="n">
        <f aca="false">ROUND(F11*1.1,0)</f>
        <v>278</v>
      </c>
      <c r="G12" s="7" t="n">
        <f aca="false">AVERAGE(E12:F12)</f>
        <v>208.5</v>
      </c>
      <c r="H12" s="7" t="n">
        <v>0.5</v>
      </c>
    </row>
    <row r="14" customFormat="false" ht="15.75" hidden="false" customHeight="false" outlineLevel="0" collapsed="false">
      <c r="A14" s="19" t="s">
        <v>68</v>
      </c>
      <c r="B14" s="19"/>
      <c r="C14" s="19"/>
      <c r="D14" s="19"/>
    </row>
    <row r="15" customFormat="false" ht="15.75" hidden="false" customHeight="false" outlineLevel="0" collapsed="false">
      <c r="A15" s="6" t="s">
        <v>69</v>
      </c>
      <c r="B15" s="6" t="s">
        <v>70</v>
      </c>
      <c r="C15" s="19" t="s">
        <v>71</v>
      </c>
      <c r="D15" s="8" t="s">
        <v>94</v>
      </c>
      <c r="E15" s="2" t="s">
        <v>124</v>
      </c>
    </row>
    <row r="16" customFormat="false" ht="150.75" hidden="false" customHeight="true" outlineLevel="0" collapsed="false">
      <c r="A16" s="13" t="s">
        <v>85</v>
      </c>
      <c r="B16" s="13" t="s">
        <v>92</v>
      </c>
      <c r="C16" s="21" t="s">
        <v>163</v>
      </c>
      <c r="D16" s="26" t="s">
        <v>164</v>
      </c>
      <c r="E16" s="18" t="s">
        <v>165</v>
      </c>
    </row>
    <row r="17" customFormat="false" ht="15.75" hidden="false" customHeight="false" outlineLevel="0" collapsed="false">
      <c r="A17" s="2"/>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c r="L21" s="25"/>
      <c r="M21" s="25"/>
      <c r="N21" s="25"/>
      <c r="O21" s="25"/>
    </row>
    <row r="22" customFormat="false" ht="15.75" hidden="false" customHeight="false" outlineLevel="0" collapsed="false">
      <c r="A22" s="30" t="s">
        <v>9</v>
      </c>
      <c r="B22" s="30" t="s">
        <v>104</v>
      </c>
      <c r="C22" s="30" t="s">
        <v>8</v>
      </c>
      <c r="D22" s="18" t="s">
        <v>2</v>
      </c>
    </row>
  </sheetData>
  <mergeCells count="2">
    <mergeCell ref="B3:G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2" min="9" style="1" width="2.38"/>
    <col collapsed="false" customWidth="true" hidden="false" outlineLevel="0" max="15" min="13" style="1" width="2.5"/>
    <col collapsed="false" customWidth="true" hidden="false" outlineLevel="0" max="19" min="16" style="1" width="2.6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c r="T4" s="2"/>
      <c r="U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43</v>
      </c>
      <c r="C6" s="7" t="n">
        <v>63</v>
      </c>
      <c r="D6" s="7" t="n">
        <f aca="false">AVERAGE(B6:C6)</f>
        <v>53</v>
      </c>
      <c r="E6" s="7" t="n">
        <f aca="false">ROUND(F6*H6,0)</f>
        <v>74</v>
      </c>
      <c r="F6" s="7" t="n">
        <f aca="false">ROUND(F7 * 0.9,0)</f>
        <v>92</v>
      </c>
      <c r="G6" s="7" t="n">
        <f aca="false">AVERAGE(E6:F6)</f>
        <v>83</v>
      </c>
      <c r="H6" s="7" t="n">
        <v>0.8</v>
      </c>
    </row>
    <row r="7" customFormat="false" ht="22.5" hidden="false" customHeight="true" outlineLevel="0" collapsed="false">
      <c r="A7" s="7" t="n">
        <v>0</v>
      </c>
      <c r="B7" s="7" t="n">
        <v>46</v>
      </c>
      <c r="C7" s="7" t="n">
        <v>68</v>
      </c>
      <c r="D7" s="7" t="n">
        <f aca="false">AVERAGE(B7:C7)</f>
        <v>57</v>
      </c>
      <c r="E7" s="7" t="n">
        <f aca="false">ROUND(F7*H7,0)</f>
        <v>82</v>
      </c>
      <c r="F7" s="7" t="n">
        <v>102</v>
      </c>
      <c r="G7" s="7" t="n">
        <f aca="false">AVERAGE(E7:F7)</f>
        <v>92</v>
      </c>
      <c r="H7" s="7" t="n">
        <v>0.8</v>
      </c>
    </row>
    <row r="8" customFormat="false" ht="22.5" hidden="false" customHeight="true" outlineLevel="0" collapsed="false">
      <c r="A8" s="7" t="n">
        <v>1</v>
      </c>
      <c r="B8" s="7" t="n">
        <v>51</v>
      </c>
      <c r="C8" s="7" t="n">
        <v>75</v>
      </c>
      <c r="D8" s="7" t="n">
        <f aca="false">AVERAGE(B8:C8)</f>
        <v>63</v>
      </c>
      <c r="E8" s="7" t="n">
        <f aca="false">ROUND(F8*H8,0)</f>
        <v>90</v>
      </c>
      <c r="F8" s="7" t="n">
        <f aca="false">ROUND(F7*1.1,0)</f>
        <v>112</v>
      </c>
      <c r="G8" s="7" t="n">
        <f aca="false">AVERAGE(E8:F8)</f>
        <v>101</v>
      </c>
      <c r="H8" s="7" t="n">
        <v>0.8</v>
      </c>
    </row>
    <row r="9" customFormat="false" ht="22.5" hidden="false" customHeight="true" outlineLevel="0" collapsed="false">
      <c r="A9" s="7" t="n">
        <v>2</v>
      </c>
      <c r="B9" s="7" t="n">
        <v>57</v>
      </c>
      <c r="C9" s="7" t="n">
        <v>83</v>
      </c>
      <c r="D9" s="7" t="n">
        <f aca="false">AVERAGE(B9:C9)</f>
        <v>70</v>
      </c>
      <c r="E9" s="7" t="n">
        <f aca="false">ROUND(F9*H9,0)</f>
        <v>98</v>
      </c>
      <c r="F9" s="7" t="n">
        <f aca="false">ROUND(F8*1.1,0)</f>
        <v>123</v>
      </c>
      <c r="G9" s="7" t="n">
        <f aca="false">AVERAGE(E9:F9)</f>
        <v>110.5</v>
      </c>
      <c r="H9" s="7" t="n">
        <v>0.8</v>
      </c>
    </row>
    <row r="10" customFormat="false" ht="22.5" hidden="false" customHeight="true" outlineLevel="0" collapsed="false">
      <c r="A10" s="7" t="n">
        <v>3</v>
      </c>
      <c r="B10" s="7" t="n">
        <v>63</v>
      </c>
      <c r="C10" s="7" t="n">
        <v>92</v>
      </c>
      <c r="D10" s="7" t="n">
        <f aca="false">AVERAGE(B10:C10)</f>
        <v>77.5</v>
      </c>
      <c r="E10" s="7" t="n">
        <f aca="false">ROUND(F10*H10,0)</f>
        <v>108</v>
      </c>
      <c r="F10" s="7" t="n">
        <f aca="false">ROUND(F9*1.1,0)</f>
        <v>135</v>
      </c>
      <c r="G10" s="7" t="n">
        <f aca="false">AVERAGE(E10:F10)</f>
        <v>121.5</v>
      </c>
      <c r="H10" s="7" t="n">
        <v>0.8</v>
      </c>
    </row>
    <row r="11" customFormat="false" ht="22.5" hidden="false" customHeight="true" outlineLevel="0" collapsed="false">
      <c r="A11" s="7" t="n">
        <v>4</v>
      </c>
      <c r="B11" s="7" t="n">
        <v>70</v>
      </c>
      <c r="C11" s="7" t="n">
        <v>102</v>
      </c>
      <c r="D11" s="7" t="n">
        <f aca="false">AVERAGE(B11:C11)</f>
        <v>86</v>
      </c>
      <c r="E11" s="7" t="n">
        <f aca="false">ROUND(F11*H11,0)</f>
        <v>119</v>
      </c>
      <c r="F11" s="7" t="n">
        <f aca="false">ROUND(F10*1.1,0)</f>
        <v>149</v>
      </c>
      <c r="G11" s="7" t="n">
        <f aca="false">AVERAGE(E11:F11)</f>
        <v>134</v>
      </c>
      <c r="H11" s="7" t="n">
        <v>0.8</v>
      </c>
    </row>
    <row r="12" customFormat="false" ht="22.5" hidden="false" customHeight="true" outlineLevel="0" collapsed="false">
      <c r="A12" s="7" t="n">
        <v>5</v>
      </c>
      <c r="B12" s="7" t="n">
        <v>78</v>
      </c>
      <c r="C12" s="7" t="n">
        <v>113</v>
      </c>
      <c r="D12" s="7" t="n">
        <f aca="false">AVERAGE(B12:C12)</f>
        <v>95.5</v>
      </c>
      <c r="E12" s="7" t="n">
        <f aca="false">ROUND(F12*H12,0)</f>
        <v>131</v>
      </c>
      <c r="F12" s="7" t="n">
        <f aca="false">ROUND(F11*1.1,0)</f>
        <v>164</v>
      </c>
      <c r="G12" s="7" t="n">
        <f aca="false">AVERAGE(E12:F12)</f>
        <v>147.5</v>
      </c>
      <c r="H12" s="7" t="n">
        <v>0.8</v>
      </c>
    </row>
    <row r="14" customFormat="false" ht="11.25" hidden="false" customHeight="true" outlineLevel="0" collapsed="false">
      <c r="I14" s="2"/>
    </row>
    <row r="15" customFormat="false" ht="15.75" hidden="false" customHeight="false" outlineLevel="0" collapsed="false">
      <c r="A15" s="6" t="s">
        <v>68</v>
      </c>
      <c r="B15" s="6"/>
      <c r="C15" s="6"/>
      <c r="J15" s="2"/>
      <c r="K15" s="2"/>
      <c r="L15" s="2"/>
    </row>
    <row r="16" customFormat="false" ht="39" hidden="false" customHeight="true" outlineLevel="0" collapsed="false">
      <c r="A16" s="6" t="s">
        <v>69</v>
      </c>
      <c r="B16" s="6" t="s">
        <v>70</v>
      </c>
      <c r="C16" s="6" t="s">
        <v>71</v>
      </c>
      <c r="D16" s="2" t="s">
        <v>116</v>
      </c>
      <c r="J16" s="2"/>
      <c r="K16" s="2"/>
      <c r="L16" s="2"/>
    </row>
    <row r="17" customFormat="false" ht="138" hidden="false" customHeight="true" outlineLevel="0" collapsed="false">
      <c r="A17" s="13" t="s">
        <v>166</v>
      </c>
      <c r="B17" s="13" t="s">
        <v>167</v>
      </c>
      <c r="C17" s="13" t="s">
        <v>168</v>
      </c>
      <c r="D17" s="18" t="s">
        <v>169</v>
      </c>
      <c r="J17" s="18"/>
      <c r="K17" s="18"/>
      <c r="L17" s="18"/>
    </row>
    <row r="18" customFormat="false" ht="15.75" hidden="false" customHeight="false" outlineLevel="0" collapsed="false">
      <c r="H18" s="2" t="s">
        <v>170</v>
      </c>
    </row>
    <row r="19" customFormat="false" ht="15.75" hidden="false" customHeight="false" outlineLevel="0" collapsed="false">
      <c r="O19" s="16"/>
      <c r="P19" s="16"/>
    </row>
    <row r="20" customFormat="false" ht="15.75" hidden="false" customHeight="false" outlineLevel="0" collapsed="false">
      <c r="A20" s="2" t="s">
        <v>84</v>
      </c>
      <c r="N20" s="33"/>
    </row>
    <row r="21" customFormat="false" ht="15.75" hidden="false" customHeight="false" outlineLevel="0" collapsed="false">
      <c r="A21" s="2" t="s">
        <v>76</v>
      </c>
      <c r="B21" s="2" t="s">
        <v>77</v>
      </c>
      <c r="C21" s="2" t="s">
        <v>78</v>
      </c>
      <c r="D21" s="2" t="s">
        <v>79</v>
      </c>
      <c r="M21" s="33"/>
    </row>
    <row r="22" customFormat="false" ht="15.75" hidden="false" customHeight="false" outlineLevel="0" collapsed="false">
      <c r="A22" s="30" t="s">
        <v>123</v>
      </c>
      <c r="B22" s="30" t="s">
        <v>15</v>
      </c>
      <c r="C22" s="30" t="s">
        <v>104</v>
      </c>
      <c r="D22" s="18" t="s">
        <v>103</v>
      </c>
      <c r="M22" s="33"/>
    </row>
    <row r="23" customFormat="false" ht="15.75" hidden="false" customHeight="false" outlineLevel="0" collapsed="false">
      <c r="N23" s="33"/>
    </row>
  </sheetData>
  <mergeCells count="2">
    <mergeCell ref="B3:G3"/>
    <mergeCell ref="A15:C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8" activeCellId="0" sqref="F8"/>
    </sheetView>
  </sheetViews>
  <sheetFormatPr defaultColWidth="12.6328125" defaultRowHeight="15.75" zeroHeight="false" outlineLevelRow="0" outlineLevelCol="0"/>
  <cols>
    <col collapsed="false" customWidth="true" hidden="false" outlineLevel="0" max="1" min="1" style="1" width="25"/>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16"/>
    <col collapsed="false" customWidth="true" hidden="false" outlineLevel="0" max="10" min="10"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68</v>
      </c>
      <c r="C6" s="7" t="n">
        <v>96</v>
      </c>
      <c r="D6" s="7" t="n">
        <f aca="false">AVERAGE(B6:C6)</f>
        <v>82</v>
      </c>
      <c r="E6" s="7" t="n">
        <f aca="false">ROUND(F6*H6,0)</f>
        <v>70</v>
      </c>
      <c r="F6" s="7" t="n">
        <f aca="false">ROUND(F7 * 0.9,0)</f>
        <v>108</v>
      </c>
      <c r="G6" s="7" t="n">
        <f aca="false">AVERAGE(E6:F6)</f>
        <v>89</v>
      </c>
      <c r="H6" s="7" t="n">
        <v>0.65</v>
      </c>
    </row>
    <row r="7" customFormat="false" ht="22.5" hidden="false" customHeight="true" outlineLevel="0" collapsed="false">
      <c r="A7" s="7" t="n">
        <v>0</v>
      </c>
      <c r="B7" s="7" t="n">
        <v>72</v>
      </c>
      <c r="C7" s="7" t="n">
        <v>101</v>
      </c>
      <c r="D7" s="7" t="n">
        <f aca="false">AVERAGE(B7:C7)</f>
        <v>86.5</v>
      </c>
      <c r="E7" s="7" t="n">
        <f aca="false">ROUND(F7*H7,0)</f>
        <v>78</v>
      </c>
      <c r="F7" s="7" t="n">
        <v>120</v>
      </c>
      <c r="G7" s="7" t="n">
        <f aca="false">AVERAGE(E7:F7)</f>
        <v>99</v>
      </c>
      <c r="H7" s="7" t="n">
        <v>0.65</v>
      </c>
    </row>
    <row r="8" customFormat="false" ht="22.5" hidden="false" customHeight="true" outlineLevel="0" collapsed="false">
      <c r="A8" s="7" t="n">
        <v>1</v>
      </c>
      <c r="B8" s="7" t="n">
        <v>80</v>
      </c>
      <c r="C8" s="7" t="n">
        <v>112</v>
      </c>
      <c r="D8" s="7" t="n">
        <f aca="false">AVERAGE(B8:C8)</f>
        <v>96</v>
      </c>
      <c r="E8" s="7" t="n">
        <f aca="false">ROUND(F8*H8,0)</f>
        <v>86</v>
      </c>
      <c r="F8" s="7" t="n">
        <f aca="false">ROUND(F7*1.1,0)</f>
        <v>132</v>
      </c>
      <c r="G8" s="7" t="n">
        <f aca="false">AVERAGE(E8:F8)</f>
        <v>109</v>
      </c>
      <c r="H8" s="7" t="n">
        <v>0.65</v>
      </c>
    </row>
    <row r="9" customFormat="false" ht="22.5" hidden="false" customHeight="true" outlineLevel="0" collapsed="false">
      <c r="A9" s="7" t="n">
        <v>2</v>
      </c>
      <c r="B9" s="7" t="n">
        <v>89</v>
      </c>
      <c r="C9" s="7" t="n">
        <v>124</v>
      </c>
      <c r="D9" s="7" t="n">
        <f aca="false">AVERAGE(B9:C9)</f>
        <v>106.5</v>
      </c>
      <c r="E9" s="7" t="n">
        <f aca="false">ROUND(F9*H9,0)</f>
        <v>94</v>
      </c>
      <c r="F9" s="7" t="n">
        <f aca="false">ROUND(F8*1.1,0)</f>
        <v>145</v>
      </c>
      <c r="G9" s="7" t="n">
        <f aca="false">AVERAGE(E9:F9)</f>
        <v>119.5</v>
      </c>
      <c r="H9" s="7" t="n">
        <v>0.65</v>
      </c>
    </row>
    <row r="10" customFormat="false" ht="22.5" hidden="false" customHeight="true" outlineLevel="0" collapsed="false">
      <c r="A10" s="7" t="n">
        <v>3</v>
      </c>
      <c r="B10" s="7" t="n">
        <v>99</v>
      </c>
      <c r="C10" s="7" t="n">
        <v>138</v>
      </c>
      <c r="D10" s="7" t="n">
        <f aca="false">AVERAGE(B10:C10)</f>
        <v>118.5</v>
      </c>
      <c r="E10" s="7" t="n">
        <f aca="false">ROUND(F10*H10,0)</f>
        <v>104</v>
      </c>
      <c r="F10" s="7" t="n">
        <f aca="false">ROUND(F9*1.1,0)</f>
        <v>160</v>
      </c>
      <c r="G10" s="7" t="n">
        <f aca="false">AVERAGE(E10:F10)</f>
        <v>132</v>
      </c>
      <c r="H10" s="7" t="n">
        <v>0.65</v>
      </c>
    </row>
    <row r="11" customFormat="false" ht="22.5" hidden="false" customHeight="true" outlineLevel="0" collapsed="false">
      <c r="A11" s="7" t="n">
        <v>4</v>
      </c>
      <c r="B11" s="7" t="n">
        <v>110</v>
      </c>
      <c r="C11" s="7" t="n">
        <v>153</v>
      </c>
      <c r="D11" s="7" t="n">
        <f aca="false">AVERAGE(B11:C11)</f>
        <v>131.5</v>
      </c>
      <c r="E11" s="7" t="n">
        <f aca="false">ROUND(F11*H11,0)</f>
        <v>114</v>
      </c>
      <c r="F11" s="7" t="n">
        <f aca="false">ROUND(F10*1.1,0)</f>
        <v>176</v>
      </c>
      <c r="G11" s="7" t="n">
        <f aca="false">AVERAGE(E11:F11)</f>
        <v>145</v>
      </c>
      <c r="H11" s="7" t="n">
        <v>0.65</v>
      </c>
    </row>
    <row r="12" customFormat="false" ht="22.5" hidden="false" customHeight="true" outlineLevel="0" collapsed="false">
      <c r="A12" s="7" t="n">
        <v>5</v>
      </c>
      <c r="B12" s="7" t="n">
        <v>122</v>
      </c>
      <c r="C12" s="7" t="n">
        <v>170</v>
      </c>
      <c r="D12" s="7" t="n">
        <f aca="false">AVERAGE(B12:C12)</f>
        <v>146</v>
      </c>
      <c r="E12" s="7" t="n">
        <f aca="false">ROUND(F12*H12,0)</f>
        <v>126</v>
      </c>
      <c r="F12" s="7" t="n">
        <f aca="false">ROUND(F11*1.1,0)</f>
        <v>194</v>
      </c>
      <c r="G12" s="7" t="n">
        <f aca="false">AVERAGE(E12:F12)</f>
        <v>160</v>
      </c>
      <c r="H12" s="7" t="n">
        <v>0.65</v>
      </c>
    </row>
    <row r="14" customFormat="false" ht="15.75" hidden="false" customHeight="false" outlineLevel="0" collapsed="false">
      <c r="K14" s="8"/>
      <c r="L14" s="2"/>
    </row>
    <row r="15" customFormat="false" ht="15.75" hidden="false" customHeight="false" outlineLevel="0" collapsed="false">
      <c r="K15" s="8"/>
    </row>
    <row r="16" customFormat="false" ht="39" hidden="false" customHeight="true" outlineLevel="0" collapsed="false">
      <c r="K16" s="8"/>
    </row>
    <row r="17" customFormat="false" ht="15.75" hidden="false" customHeight="false" outlineLevel="0" collapsed="false">
      <c r="A17" s="6" t="s">
        <v>68</v>
      </c>
      <c r="B17" s="6"/>
      <c r="C17" s="6"/>
    </row>
    <row r="18" customFormat="false" ht="15.75" hidden="false" customHeight="false" outlineLevel="0" collapsed="false">
      <c r="A18" s="6" t="s">
        <v>69</v>
      </c>
      <c r="B18" s="6" t="s">
        <v>70</v>
      </c>
      <c r="C18" s="6" t="s">
        <v>71</v>
      </c>
    </row>
    <row r="19" customFormat="false" ht="15.75" hidden="false" customHeight="false" outlineLevel="0" collapsed="false">
      <c r="A19" s="13" t="s">
        <v>171</v>
      </c>
      <c r="B19" s="13" t="s">
        <v>172</v>
      </c>
      <c r="C19" s="13" t="s">
        <v>173</v>
      </c>
    </row>
    <row r="20" customFormat="false" ht="15.75" hidden="false" customHeight="false" outlineLevel="0" collapsed="false">
      <c r="A20" s="2" t="s">
        <v>84</v>
      </c>
    </row>
    <row r="21" customFormat="false" ht="15.75" hidden="false" customHeight="false" outlineLevel="0" collapsed="false">
      <c r="A21" s="2" t="s">
        <v>174</v>
      </c>
      <c r="B21" s="2" t="s">
        <v>175</v>
      </c>
      <c r="C21" s="2" t="s">
        <v>176</v>
      </c>
      <c r="D21" s="2" t="s">
        <v>177</v>
      </c>
    </row>
    <row r="22" customFormat="false" ht="15.75" hidden="false" customHeight="false" outlineLevel="0" collapsed="false">
      <c r="A22" s="30" t="s">
        <v>136</v>
      </c>
      <c r="B22" s="30" t="s">
        <v>108</v>
      </c>
      <c r="C22" s="30" t="s">
        <v>35</v>
      </c>
      <c r="D22" s="18" t="s">
        <v>16</v>
      </c>
    </row>
  </sheetData>
  <mergeCells count="2">
    <mergeCell ref="B3:G3"/>
    <mergeCell ref="A17:C17"/>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6" min="9" style="1" width="2.75"/>
    <col collapsed="false" customWidth="true" hidden="false" outlineLevel="0" max="17" min="17" style="1" width="2.25"/>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57</v>
      </c>
      <c r="C6" s="7" t="n">
        <v>75</v>
      </c>
      <c r="D6" s="7" t="n">
        <f aca="false">AVERAGE(B6:C6)</f>
        <v>66</v>
      </c>
      <c r="E6" s="7" t="n">
        <f aca="false">ROUND(F6*H6,0)</f>
        <v>62</v>
      </c>
      <c r="F6" s="7" t="n">
        <f aca="false">ROUND(F7 * 0.9,0)</f>
        <v>77</v>
      </c>
      <c r="G6" s="7" t="n">
        <f aca="false">AVERAGE(E6:F6)</f>
        <v>69.5</v>
      </c>
      <c r="H6" s="7" t="n">
        <v>0.8</v>
      </c>
    </row>
    <row r="7" customFormat="false" ht="22.5" hidden="false" customHeight="true" outlineLevel="0" collapsed="false">
      <c r="A7" s="7" t="n">
        <v>0</v>
      </c>
      <c r="B7" s="7" t="n">
        <v>60</v>
      </c>
      <c r="C7" s="7" t="n">
        <v>80</v>
      </c>
      <c r="D7" s="7" t="n">
        <f aca="false">AVERAGE(B7:C7)</f>
        <v>70</v>
      </c>
      <c r="E7" s="7" t="n">
        <f aca="false">ROUND(F7*H7,0)</f>
        <v>68</v>
      </c>
      <c r="F7" s="7" t="n">
        <v>85</v>
      </c>
      <c r="G7" s="7" t="n">
        <f aca="false">AVERAGE(E7:F7)</f>
        <v>76.5</v>
      </c>
      <c r="H7" s="7" t="n">
        <v>0.8</v>
      </c>
    </row>
    <row r="8" customFormat="false" ht="22.5" hidden="false" customHeight="true" outlineLevel="0" collapsed="false">
      <c r="A8" s="7" t="n">
        <v>1</v>
      </c>
      <c r="B8" s="7" t="n">
        <v>67</v>
      </c>
      <c r="C8" s="7" t="n">
        <v>90</v>
      </c>
      <c r="D8" s="7" t="n">
        <f aca="false">AVERAGE(B8:C8)</f>
        <v>78.5</v>
      </c>
      <c r="E8" s="7" t="n">
        <f aca="false">ROUND(F8*H8,0)</f>
        <v>75</v>
      </c>
      <c r="F8" s="7" t="n">
        <f aca="false">ROUND(F7*1.1,0)</f>
        <v>94</v>
      </c>
      <c r="G8" s="7" t="n">
        <f aca="false">AVERAGE(E8:F8)</f>
        <v>84.5</v>
      </c>
      <c r="H8" s="7" t="n">
        <v>0.8</v>
      </c>
    </row>
    <row r="9" customFormat="false" ht="22.5" hidden="false" customHeight="true" outlineLevel="0" collapsed="false">
      <c r="A9" s="7" t="n">
        <v>2</v>
      </c>
      <c r="B9" s="7" t="n">
        <v>75</v>
      </c>
      <c r="C9" s="7" t="n">
        <v>101</v>
      </c>
      <c r="D9" s="7" t="n">
        <f aca="false">AVERAGE(B9:C9)</f>
        <v>88</v>
      </c>
      <c r="E9" s="7" t="n">
        <f aca="false">ROUND(F9*H9,0)</f>
        <v>82</v>
      </c>
      <c r="F9" s="7" t="n">
        <f aca="false">ROUND(F8*1.1,0)</f>
        <v>103</v>
      </c>
      <c r="G9" s="7" t="n">
        <f aca="false">AVERAGE(E9:F9)</f>
        <v>92.5</v>
      </c>
      <c r="H9" s="7" t="n">
        <v>0.8</v>
      </c>
    </row>
    <row r="10" customFormat="false" ht="22.5" hidden="false" customHeight="true" outlineLevel="0" collapsed="false">
      <c r="A10" s="7" t="n">
        <v>3</v>
      </c>
      <c r="B10" s="7" t="n">
        <v>84</v>
      </c>
      <c r="C10" s="7" t="n">
        <v>113</v>
      </c>
      <c r="D10" s="7" t="n">
        <f aca="false">AVERAGE(B10:C10)</f>
        <v>98.5</v>
      </c>
      <c r="E10" s="7" t="n">
        <f aca="false">ROUND(F10*H10,0)</f>
        <v>90</v>
      </c>
      <c r="F10" s="7" t="n">
        <f aca="false">ROUND(F9*1.1,0)</f>
        <v>113</v>
      </c>
      <c r="G10" s="7" t="n">
        <f aca="false">AVERAGE(E10:F10)</f>
        <v>101.5</v>
      </c>
      <c r="H10" s="7" t="n">
        <v>0.8</v>
      </c>
    </row>
    <row r="11" customFormat="false" ht="22.5" hidden="false" customHeight="true" outlineLevel="0" collapsed="false">
      <c r="A11" s="7" t="n">
        <v>4</v>
      </c>
      <c r="B11" s="7" t="n">
        <v>94</v>
      </c>
      <c r="C11" s="7" t="n">
        <v>127</v>
      </c>
      <c r="D11" s="7" t="n">
        <f aca="false">AVERAGE(B11:C11)</f>
        <v>110.5</v>
      </c>
      <c r="E11" s="7" t="n">
        <f aca="false">ROUND(F11*H11,0)</f>
        <v>99</v>
      </c>
      <c r="F11" s="7" t="n">
        <f aca="false">ROUND(F10*1.1,0)</f>
        <v>124</v>
      </c>
      <c r="G11" s="7" t="n">
        <f aca="false">AVERAGE(E11:F11)</f>
        <v>111.5</v>
      </c>
      <c r="H11" s="7" t="n">
        <v>0.8</v>
      </c>
    </row>
    <row r="12" customFormat="false" ht="22.5" hidden="false" customHeight="true" outlineLevel="0" collapsed="false">
      <c r="A12" s="7" t="n">
        <v>5</v>
      </c>
      <c r="B12" s="7" t="n">
        <v>105</v>
      </c>
      <c r="C12" s="7" t="n">
        <v>142</v>
      </c>
      <c r="D12" s="7" t="n">
        <f aca="false">AVERAGE(B12:C12)</f>
        <v>123.5</v>
      </c>
      <c r="E12" s="7" t="n">
        <f aca="false">ROUND(F12*H12,0)</f>
        <v>109</v>
      </c>
      <c r="F12" s="7" t="n">
        <f aca="false">ROUND(F11*1.1,0)</f>
        <v>136</v>
      </c>
      <c r="G12" s="7" t="n">
        <f aca="false">AVERAGE(E12:F12)</f>
        <v>122.5</v>
      </c>
      <c r="H12" s="7" t="n">
        <v>0.8</v>
      </c>
    </row>
    <row r="14" customFormat="false" ht="15.75" hidden="false" customHeight="false" outlineLevel="0" collapsed="false">
      <c r="I14" s="8"/>
      <c r="J14" s="2"/>
    </row>
    <row r="15" customFormat="false" ht="15.75" hidden="false" customHeight="false" outlineLevel="0" collapsed="false">
      <c r="I15" s="2"/>
    </row>
    <row r="16" customFormat="false" ht="51.75" hidden="false" customHeight="true" outlineLevel="0" collapsed="false">
      <c r="A16" s="6" t="s">
        <v>68</v>
      </c>
      <c r="B16" s="6"/>
      <c r="C16" s="6"/>
    </row>
    <row r="17" customFormat="false" ht="15.75" hidden="false" customHeight="false" outlineLevel="0" collapsed="false">
      <c r="A17" s="6" t="s">
        <v>69</v>
      </c>
      <c r="B17" s="6" t="s">
        <v>70</v>
      </c>
      <c r="C17" s="6" t="s">
        <v>71</v>
      </c>
      <c r="I17" s="15"/>
      <c r="J17" s="15"/>
      <c r="K17" s="15"/>
      <c r="L17" s="15"/>
      <c r="M17" s="15"/>
    </row>
    <row r="18" customFormat="false" ht="15.75" hidden="false" customHeight="false" outlineLevel="0" collapsed="false">
      <c r="A18" s="13" t="s">
        <v>178</v>
      </c>
      <c r="B18" s="13" t="s">
        <v>179</v>
      </c>
      <c r="C18" s="13" t="s">
        <v>180</v>
      </c>
      <c r="I18" s="15"/>
      <c r="J18" s="15"/>
      <c r="K18" s="15"/>
      <c r="L18" s="15"/>
      <c r="M18" s="15"/>
      <c r="N18" s="15"/>
      <c r="O18" s="15"/>
      <c r="P18" s="15"/>
      <c r="Q18" s="15"/>
    </row>
    <row r="19" customFormat="false" ht="15.75" hidden="false" customHeight="false" outlineLevel="0" collapsed="false">
      <c r="K19" s="10"/>
    </row>
    <row r="20" customFormat="false" ht="15.75" hidden="false" customHeight="false" outlineLevel="0" collapsed="false">
      <c r="A20" s="2" t="s">
        <v>181</v>
      </c>
      <c r="K20" s="10"/>
    </row>
    <row r="21" customFormat="false" ht="15.75" hidden="false" customHeight="false" outlineLevel="0" collapsed="false">
      <c r="A21" s="2" t="s">
        <v>174</v>
      </c>
      <c r="B21" s="2" t="s">
        <v>175</v>
      </c>
      <c r="C21" s="2" t="s">
        <v>176</v>
      </c>
      <c r="D21" s="2" t="s">
        <v>177</v>
      </c>
      <c r="J21" s="15" t="s">
        <v>182</v>
      </c>
      <c r="K21" s="15"/>
      <c r="L21" s="15"/>
      <c r="M21" s="15"/>
    </row>
    <row r="22" customFormat="false" ht="15.75" hidden="false" customHeight="false" outlineLevel="0" collapsed="false">
      <c r="A22" s="30" t="s">
        <v>114</v>
      </c>
      <c r="B22" s="30" t="s">
        <v>104</v>
      </c>
      <c r="C22" s="30" t="s">
        <v>105</v>
      </c>
      <c r="D22" s="18" t="s">
        <v>34</v>
      </c>
    </row>
    <row r="24" customFormat="false" ht="15.75" hidden="false" customHeight="false" outlineLevel="0" collapsed="false">
      <c r="K24" s="17"/>
      <c r="L24" s="17"/>
      <c r="M24" s="17"/>
    </row>
    <row r="25" customFormat="false" ht="15.75" hidden="false" customHeight="false" outlineLevel="0" collapsed="false">
      <c r="K25" s="10"/>
      <c r="L25" s="17"/>
    </row>
    <row r="26" customFormat="false" ht="15.75" hidden="false" customHeight="false" outlineLevel="0" collapsed="false">
      <c r="K26" s="10"/>
      <c r="L26" s="28"/>
    </row>
  </sheetData>
  <mergeCells count="5">
    <mergeCell ref="B3:G3"/>
    <mergeCell ref="A16:C16"/>
    <mergeCell ref="I17:M17"/>
    <mergeCell ref="I18:Q18"/>
    <mergeCell ref="J21:M2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15.51"/>
    <col collapsed="false" customWidth="true" hidden="false" outlineLevel="0" max="10" min="10" style="1" width="28.88"/>
    <col collapsed="false" customWidth="true" hidden="false" outlineLevel="0" max="12" min="12" style="1" width="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67</v>
      </c>
      <c r="C6" s="7" t="n">
        <v>105</v>
      </c>
      <c r="D6" s="7" t="n">
        <f aca="false">AVERAGE(B6:C6)</f>
        <v>86</v>
      </c>
      <c r="E6" s="7" t="n">
        <f aca="false">ROUND(E7 * 0.9,0)</f>
        <v>67</v>
      </c>
      <c r="F6" s="7" t="n">
        <f aca="false">ROUND(F7 * 0.9,0)</f>
        <v>132</v>
      </c>
      <c r="G6" s="7" t="n">
        <f aca="false">AVERAGE(E6:F6)</f>
        <v>99.5</v>
      </c>
      <c r="H6" s="7" t="n">
        <v>0.5</v>
      </c>
    </row>
    <row r="7" customFormat="false" ht="22.5" hidden="false" customHeight="true" outlineLevel="0" collapsed="false">
      <c r="A7" s="7" t="n">
        <v>0</v>
      </c>
      <c r="B7" s="7" t="n">
        <v>70</v>
      </c>
      <c r="C7" s="7" t="n">
        <v>111</v>
      </c>
      <c r="D7" s="7" t="n">
        <f aca="false">AVERAGE(B7:C7)</f>
        <v>90.5</v>
      </c>
      <c r="E7" s="7" t="n">
        <f aca="false">ROUND(F7*H7,0)</f>
        <v>74</v>
      </c>
      <c r="F7" s="7" t="n">
        <v>147</v>
      </c>
      <c r="G7" s="7" t="n">
        <f aca="false">AVERAGE(E7:F7)</f>
        <v>110.5</v>
      </c>
      <c r="H7" s="7" t="n">
        <v>0.5</v>
      </c>
    </row>
    <row r="8" customFormat="false" ht="22.5" hidden="false" customHeight="true" outlineLevel="0" collapsed="false">
      <c r="A8" s="7" t="n">
        <v>1</v>
      </c>
      <c r="B8" s="7" t="n">
        <v>76</v>
      </c>
      <c r="C8" s="7" t="n">
        <v>124</v>
      </c>
      <c r="D8" s="7" t="n">
        <f aca="false">AVERAGE(B8:C8)</f>
        <v>100</v>
      </c>
      <c r="E8" s="7" t="n">
        <f aca="false">ROUND(F8*H8,0)</f>
        <v>81</v>
      </c>
      <c r="F8" s="7" t="n">
        <f aca="false">ROUND(F7*1.1,0)</f>
        <v>162</v>
      </c>
      <c r="G8" s="7" t="n">
        <f aca="false">AVERAGE(E8:F8)</f>
        <v>121.5</v>
      </c>
      <c r="H8" s="7" t="n">
        <v>0.5</v>
      </c>
    </row>
    <row r="9" customFormat="false" ht="22.5" hidden="false" customHeight="true" outlineLevel="0" collapsed="false">
      <c r="A9" s="7" t="n">
        <v>2</v>
      </c>
      <c r="B9" s="7" t="n">
        <v>77</v>
      </c>
      <c r="C9" s="7" t="n">
        <v>139</v>
      </c>
      <c r="D9" s="7" t="n">
        <f aca="false">AVERAGE(B9:C9)</f>
        <v>108</v>
      </c>
      <c r="E9" s="7" t="n">
        <f aca="false">ROUND(F9*H9,0)</f>
        <v>89</v>
      </c>
      <c r="F9" s="7" t="n">
        <f aca="false">ROUND(F8*1.1,0)</f>
        <v>178</v>
      </c>
      <c r="G9" s="7" t="n">
        <f aca="false">AVERAGE(E9:F9)</f>
        <v>133.5</v>
      </c>
      <c r="H9" s="7" t="n">
        <v>0.5</v>
      </c>
    </row>
    <row r="10" customFormat="false" ht="22.5" hidden="false" customHeight="true" outlineLevel="0" collapsed="false">
      <c r="A10" s="7" t="n">
        <v>3</v>
      </c>
      <c r="B10" s="7" t="n">
        <v>89</v>
      </c>
      <c r="C10" s="7" t="n">
        <v>156</v>
      </c>
      <c r="D10" s="7" t="n">
        <f aca="false">AVERAGE(B10:C10)</f>
        <v>122.5</v>
      </c>
      <c r="E10" s="7" t="n">
        <f aca="false">ROUND(F10*H10,0)</f>
        <v>98</v>
      </c>
      <c r="F10" s="7" t="n">
        <f aca="false">ROUND(F9*1.1,0)</f>
        <v>196</v>
      </c>
      <c r="G10" s="7" t="n">
        <f aca="false">AVERAGE(E10:F10)</f>
        <v>147</v>
      </c>
      <c r="H10" s="7" t="n">
        <v>0.5</v>
      </c>
    </row>
    <row r="11" customFormat="false" ht="22.5" hidden="false" customHeight="true" outlineLevel="0" collapsed="false">
      <c r="A11" s="7" t="n">
        <v>4</v>
      </c>
      <c r="B11" s="7" t="n">
        <v>96</v>
      </c>
      <c r="C11" s="7" t="n">
        <v>175</v>
      </c>
      <c r="D11" s="7" t="n">
        <f aca="false">AVERAGE(B11:C11)</f>
        <v>135.5</v>
      </c>
      <c r="E11" s="7" t="n">
        <f aca="false">ROUND(F11*H11,0)</f>
        <v>108</v>
      </c>
      <c r="F11" s="7" t="n">
        <f aca="false">ROUND(F10*1.1,0)</f>
        <v>216</v>
      </c>
      <c r="G11" s="7" t="n">
        <f aca="false">AVERAGE(E11:F11)</f>
        <v>162</v>
      </c>
      <c r="H11" s="7" t="n">
        <v>0.5</v>
      </c>
    </row>
    <row r="12" customFormat="false" ht="22.5" hidden="false" customHeight="true" outlineLevel="0" collapsed="false">
      <c r="A12" s="7" t="n">
        <v>5</v>
      </c>
      <c r="B12" s="7" t="n">
        <v>104</v>
      </c>
      <c r="C12" s="7" t="n">
        <v>196</v>
      </c>
      <c r="D12" s="7" t="n">
        <f aca="false">AVERAGE(B12:C12)</f>
        <v>150</v>
      </c>
      <c r="E12" s="7" t="n">
        <f aca="false">ROUND(F12*H12,0)</f>
        <v>119</v>
      </c>
      <c r="F12" s="7" t="n">
        <f aca="false">ROUND(F11*1.1,0)</f>
        <v>238</v>
      </c>
      <c r="G12" s="7" t="n">
        <f aca="false">AVERAGE(E12:F12)</f>
        <v>178.5</v>
      </c>
      <c r="H12" s="7" t="n">
        <v>0.5</v>
      </c>
    </row>
    <row r="14" customFormat="false" ht="15.75" hidden="false" customHeight="false" outlineLevel="0" collapsed="false">
      <c r="A14" s="19" t="s">
        <v>68</v>
      </c>
      <c r="B14" s="19"/>
      <c r="C14" s="19"/>
      <c r="D14" s="19"/>
    </row>
    <row r="15" customFormat="false" ht="15.75" hidden="false" customHeight="false" outlineLevel="0" collapsed="false">
      <c r="A15" s="6" t="s">
        <v>69</v>
      </c>
      <c r="B15" s="6" t="s">
        <v>70</v>
      </c>
      <c r="C15" s="19" t="s">
        <v>71</v>
      </c>
      <c r="D15" s="6" t="s">
        <v>94</v>
      </c>
    </row>
    <row r="16" customFormat="false" ht="59.25" hidden="false" customHeight="true" outlineLevel="0" collapsed="false">
      <c r="A16" s="13" t="s">
        <v>85</v>
      </c>
      <c r="B16" s="13" t="s">
        <v>183</v>
      </c>
      <c r="C16" s="21" t="s">
        <v>184</v>
      </c>
      <c r="D16" s="13" t="s">
        <v>185</v>
      </c>
    </row>
    <row r="20" customFormat="false" ht="15.75" hidden="false" customHeight="false" outlineLevel="0" collapsed="false">
      <c r="A20" s="2" t="s">
        <v>181</v>
      </c>
    </row>
    <row r="21" customFormat="false" ht="15.75" hidden="false" customHeight="false" outlineLevel="0" collapsed="false">
      <c r="A21" s="2" t="s">
        <v>174</v>
      </c>
      <c r="B21" s="2" t="s">
        <v>175</v>
      </c>
      <c r="C21" s="2" t="s">
        <v>176</v>
      </c>
      <c r="D21" s="2" t="s">
        <v>177</v>
      </c>
    </row>
    <row r="22" customFormat="false" ht="15.75" hidden="false" customHeight="false" outlineLevel="0" collapsed="false">
      <c r="A22" s="18" t="s">
        <v>186</v>
      </c>
      <c r="B22" s="18" t="s">
        <v>7</v>
      </c>
      <c r="C22" s="18" t="s">
        <v>108</v>
      </c>
      <c r="D22" s="18" t="s">
        <v>32</v>
      </c>
    </row>
  </sheetData>
  <mergeCells count="2">
    <mergeCell ref="B3:G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1.12"/>
    <col collapsed="false" customWidth="true" hidden="false" outlineLevel="0" max="10" min="10" style="1" width="24.52"/>
    <col collapsed="false" customWidth="true" hidden="false" outlineLevel="0" max="11" min="11" style="1" width="2.75"/>
    <col collapsed="false" customWidth="true" hidden="false" outlineLevel="0" max="12" min="12" style="1" width="2.5"/>
    <col collapsed="false" customWidth="true" hidden="false" outlineLevel="0" max="13" min="13" style="1" width="2.63"/>
    <col collapsed="false" customWidth="true" hidden="false" outlineLevel="0" max="18" min="14" style="1" width="3.1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67</v>
      </c>
      <c r="C6" s="7" t="n">
        <v>88</v>
      </c>
      <c r="D6" s="7" t="n">
        <f aca="false">AVERAGE(B6:C6)</f>
        <v>77.5</v>
      </c>
      <c r="E6" s="7" t="n">
        <f aca="false">ROUND(F6*H6,0)</f>
        <v>67</v>
      </c>
      <c r="F6" s="7" t="n">
        <f aca="false">ROUND(F7 * 0.9,0)</f>
        <v>84</v>
      </c>
      <c r="G6" s="7" t="n">
        <f aca="false">AVERAGE(E6:F6)</f>
        <v>75.5</v>
      </c>
      <c r="H6" s="7" t="n">
        <v>0.8</v>
      </c>
    </row>
    <row r="7" customFormat="false" ht="22.5" hidden="false" customHeight="true" outlineLevel="0" collapsed="false">
      <c r="A7" s="7" t="n">
        <v>0</v>
      </c>
      <c r="B7" s="7" t="n">
        <v>71</v>
      </c>
      <c r="C7" s="7" t="n">
        <v>93</v>
      </c>
      <c r="D7" s="7" t="n">
        <f aca="false">AVERAGE(B7:C7)</f>
        <v>82</v>
      </c>
      <c r="E7" s="7" t="n">
        <f aca="false">ROUND(F7*H7,0)</f>
        <v>74</v>
      </c>
      <c r="F7" s="7" t="n">
        <v>93</v>
      </c>
      <c r="G7" s="7" t="n">
        <f aca="false">AVERAGE(E7:F7)</f>
        <v>83.5</v>
      </c>
      <c r="H7" s="7" t="n">
        <v>0.8</v>
      </c>
    </row>
    <row r="8" customFormat="false" ht="22.5" hidden="false" customHeight="true" outlineLevel="0" collapsed="false">
      <c r="A8" s="7" t="n">
        <v>1</v>
      </c>
      <c r="B8" s="7" t="n">
        <v>78</v>
      </c>
      <c r="C8" s="7" t="n">
        <v>102</v>
      </c>
      <c r="D8" s="7" t="n">
        <f aca="false">AVERAGE(B8:C8)</f>
        <v>90</v>
      </c>
      <c r="E8" s="7" t="n">
        <f aca="false">ROUND(F8*H8,0)</f>
        <v>82</v>
      </c>
      <c r="F8" s="7" t="n">
        <f aca="false">ROUND(F7*1.1,0)</f>
        <v>102</v>
      </c>
      <c r="G8" s="7" t="n">
        <f aca="false">AVERAGE(E8:F8)</f>
        <v>92</v>
      </c>
      <c r="H8" s="7" t="n">
        <v>0.8</v>
      </c>
    </row>
    <row r="9" customFormat="false" ht="22.5" hidden="false" customHeight="true" outlineLevel="0" collapsed="false">
      <c r="A9" s="7" t="n">
        <v>2</v>
      </c>
      <c r="B9" s="7" t="n">
        <v>86</v>
      </c>
      <c r="C9" s="7" t="n">
        <v>112</v>
      </c>
      <c r="D9" s="7" t="n">
        <f aca="false">AVERAGE(B9:C9)</f>
        <v>99</v>
      </c>
      <c r="E9" s="7" t="n">
        <f aca="false">ROUND(F9*H9,0)</f>
        <v>90</v>
      </c>
      <c r="F9" s="7" t="n">
        <f aca="false">ROUND(F8*1.1,0)</f>
        <v>112</v>
      </c>
      <c r="G9" s="7" t="n">
        <f aca="false">AVERAGE(E9:F9)</f>
        <v>101</v>
      </c>
      <c r="H9" s="7" t="n">
        <v>0.8</v>
      </c>
    </row>
    <row r="10" customFormat="false" ht="22.5" hidden="false" customHeight="true" outlineLevel="0" collapsed="false">
      <c r="A10" s="7" t="n">
        <v>3</v>
      </c>
      <c r="B10" s="7" t="n">
        <v>95</v>
      </c>
      <c r="C10" s="7" t="n">
        <v>123</v>
      </c>
      <c r="D10" s="7" t="n">
        <f aca="false">AVERAGE(B10:C10)</f>
        <v>109</v>
      </c>
      <c r="E10" s="7" t="n">
        <f aca="false">ROUND(F10*H10,0)</f>
        <v>98</v>
      </c>
      <c r="F10" s="7" t="n">
        <f aca="false">ROUND(F9*1.1,0)</f>
        <v>123</v>
      </c>
      <c r="G10" s="7" t="n">
        <f aca="false">AVERAGE(E10:F10)</f>
        <v>110.5</v>
      </c>
      <c r="H10" s="7" t="n">
        <v>0.8</v>
      </c>
    </row>
    <row r="11" customFormat="false" ht="22.5" hidden="false" customHeight="true" outlineLevel="0" collapsed="false">
      <c r="A11" s="7" t="n">
        <v>4</v>
      </c>
      <c r="B11" s="7" t="n">
        <v>105</v>
      </c>
      <c r="C11" s="7" t="n">
        <v>135</v>
      </c>
      <c r="D11" s="7" t="n">
        <f aca="false">AVERAGE(B11:C11)</f>
        <v>120</v>
      </c>
      <c r="E11" s="7" t="n">
        <f aca="false">ROUND(F11*H11,0)</f>
        <v>108</v>
      </c>
      <c r="F11" s="7" t="n">
        <f aca="false">ROUND(F10*1.1,0)</f>
        <v>135</v>
      </c>
      <c r="G11" s="7" t="n">
        <f aca="false">AVERAGE(E11:F11)</f>
        <v>121.5</v>
      </c>
      <c r="H11" s="7" t="n">
        <v>0.8</v>
      </c>
    </row>
    <row r="12" customFormat="false" ht="22.5" hidden="false" customHeight="true" outlineLevel="0" collapsed="false">
      <c r="A12" s="7" t="n">
        <v>5</v>
      </c>
      <c r="B12" s="7" t="n">
        <v>116</v>
      </c>
      <c r="C12" s="7" t="n">
        <v>149</v>
      </c>
      <c r="D12" s="7" t="n">
        <f aca="false">AVERAGE(B12:C12)</f>
        <v>132.5</v>
      </c>
      <c r="E12" s="7" t="n">
        <f aca="false">ROUND(F12*H12,0)</f>
        <v>119</v>
      </c>
      <c r="F12" s="7" t="n">
        <f aca="false">ROUND(F11*1.1,0)</f>
        <v>149</v>
      </c>
      <c r="G12" s="7" t="n">
        <f aca="false">AVERAGE(E12:F12)</f>
        <v>134</v>
      </c>
      <c r="H12" s="7" t="n">
        <v>0.8</v>
      </c>
    </row>
    <row r="14" customFormat="false" ht="39" hidden="false" customHeight="true" outlineLevel="0" collapsed="false">
      <c r="A14" s="19" t="s">
        <v>68</v>
      </c>
      <c r="B14" s="19"/>
      <c r="C14" s="19"/>
    </row>
    <row r="15" customFormat="false" ht="29.25" hidden="false" customHeight="true" outlineLevel="0" collapsed="false">
      <c r="A15" s="6" t="s">
        <v>69</v>
      </c>
      <c r="B15" s="6" t="s">
        <v>70</v>
      </c>
      <c r="C15" s="19" t="s">
        <v>71</v>
      </c>
      <c r="D15" s="18" t="s">
        <v>187</v>
      </c>
    </row>
    <row r="16" customFormat="false" ht="15.75" hidden="false" customHeight="false" outlineLevel="0" collapsed="false">
      <c r="A16" s="13" t="s">
        <v>188</v>
      </c>
      <c r="B16" s="13" t="s">
        <v>85</v>
      </c>
      <c r="C16" s="21" t="s">
        <v>85</v>
      </c>
      <c r="D16" s="18" t="s">
        <v>189</v>
      </c>
    </row>
    <row r="17" customFormat="false" ht="15.75" hidden="false" customHeight="false" outlineLevel="0" collapsed="false">
      <c r="A17" s="2"/>
    </row>
    <row r="20" customFormat="false" ht="15.75" hidden="false" customHeight="false" outlineLevel="0" collapsed="false">
      <c r="A20" s="2" t="s">
        <v>181</v>
      </c>
    </row>
    <row r="21" customFormat="false" ht="15.75" hidden="false" customHeight="false" outlineLevel="0" collapsed="false">
      <c r="A21" s="2" t="s">
        <v>174</v>
      </c>
      <c r="B21" s="2" t="s">
        <v>175</v>
      </c>
      <c r="C21" s="2" t="s">
        <v>176</v>
      </c>
      <c r="D21" s="2" t="s">
        <v>177</v>
      </c>
    </row>
    <row r="22" customFormat="false" ht="15.75" hidden="false" customHeight="false" outlineLevel="0" collapsed="false">
      <c r="A22" s="18" t="s">
        <v>103</v>
      </c>
      <c r="B22" s="18" t="s">
        <v>130</v>
      </c>
      <c r="C22" s="18" t="s">
        <v>135</v>
      </c>
      <c r="D22" s="18" t="s">
        <v>190</v>
      </c>
      <c r="K22" s="25"/>
      <c r="L22" s="32"/>
      <c r="M22" s="32"/>
      <c r="N22" s="32"/>
      <c r="O22" s="25"/>
    </row>
    <row r="23" customFormat="false" ht="15.75" hidden="false" customHeight="false" outlineLevel="0" collapsed="false">
      <c r="K23" s="25"/>
      <c r="L23" s="25"/>
      <c r="M23" s="25"/>
      <c r="N23" s="25"/>
      <c r="O23" s="25"/>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25"/>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63"/>
    <col collapsed="false" customWidth="true" hidden="false" outlineLevel="0" max="7" min="7" style="1" width="25.88"/>
    <col collapsed="false" customWidth="true" hidden="false" outlineLevel="0" max="9" min="9" style="1" width="21.12"/>
    <col collapsed="false" customWidth="true" hidden="false" outlineLevel="0" max="10" min="10" style="1" width="24.52"/>
  </cols>
  <sheetData>
    <row r="1" customFormat="false" ht="14.25" hidden="false" customHeight="true" outlineLevel="0" collapsed="false">
      <c r="A1" s="2"/>
      <c r="B1" s="2"/>
      <c r="C1" s="2"/>
      <c r="D1" s="2"/>
      <c r="E1" s="2"/>
      <c r="F1" s="2"/>
      <c r="G1" s="2"/>
      <c r="H1" s="2"/>
    </row>
    <row r="2" customFormat="false" ht="14.25" hidden="false" customHeight="true" outlineLevel="0" collapsed="false">
      <c r="A2" s="2"/>
      <c r="B2" s="2" t="s">
        <v>59</v>
      </c>
      <c r="C2" s="2"/>
      <c r="D2" s="2"/>
      <c r="E2" s="2"/>
      <c r="F2" s="2"/>
      <c r="G2" s="2"/>
      <c r="H2" s="2"/>
    </row>
    <row r="3" customFormat="false" ht="14.25" hidden="false" customHeight="true" outlineLevel="0" collapsed="false">
      <c r="A3" s="6"/>
      <c r="B3" s="6" t="s">
        <v>60</v>
      </c>
      <c r="C3" s="6"/>
      <c r="D3" s="6"/>
      <c r="E3" s="6"/>
      <c r="F3" s="6"/>
      <c r="G3" s="6"/>
      <c r="H3" s="6"/>
    </row>
    <row r="4" customFormat="false" ht="14.25" hidden="false" customHeight="true" outlineLevel="0" collapsed="false">
      <c r="A4" s="2"/>
      <c r="B4" s="2"/>
      <c r="C4" s="2"/>
      <c r="D4" s="2"/>
      <c r="E4" s="2"/>
      <c r="F4" s="2"/>
      <c r="G4" s="2"/>
      <c r="H4" s="2"/>
    </row>
    <row r="5" customFormat="false" ht="14.25" hidden="false" customHeight="true" outlineLevel="0" collapsed="false">
      <c r="A5" s="34" t="s">
        <v>1</v>
      </c>
      <c r="B5" s="34" t="s">
        <v>61</v>
      </c>
      <c r="C5" s="34" t="s">
        <v>62</v>
      </c>
      <c r="D5" s="34" t="s">
        <v>63</v>
      </c>
      <c r="E5" s="34" t="s">
        <v>64</v>
      </c>
      <c r="F5" s="34" t="s">
        <v>65</v>
      </c>
      <c r="G5" s="34" t="s">
        <v>66</v>
      </c>
      <c r="H5" s="34" t="s">
        <v>67</v>
      </c>
    </row>
    <row r="6" customFormat="false" ht="14.25" hidden="false" customHeight="true" outlineLevel="0" collapsed="false">
      <c r="A6" s="35" t="n">
        <v>-1</v>
      </c>
      <c r="B6" s="35" t="n">
        <v>85</v>
      </c>
      <c r="C6" s="35" t="n">
        <v>109</v>
      </c>
      <c r="D6" s="35" t="n">
        <f aca="false">AVERAGE(B6:C6)</f>
        <v>97</v>
      </c>
      <c r="E6" s="35" t="n">
        <f aca="false">ROUND(F6*H6,0)</f>
        <v>94</v>
      </c>
      <c r="F6" s="35" t="n">
        <f aca="false">ROUND(F7 * 0.9,0)</f>
        <v>144</v>
      </c>
      <c r="G6" s="35" t="n">
        <f aca="false">AVERAGE(E6:F6)</f>
        <v>119</v>
      </c>
      <c r="H6" s="35" t="n">
        <v>0.65</v>
      </c>
    </row>
    <row r="7" customFormat="false" ht="14.25" hidden="false" customHeight="true" outlineLevel="0" collapsed="false">
      <c r="A7" s="35" t="n">
        <v>0</v>
      </c>
      <c r="B7" s="35" t="n">
        <v>90</v>
      </c>
      <c r="C7" s="35" t="n">
        <v>116</v>
      </c>
      <c r="D7" s="35" t="n">
        <f aca="false">AVERAGE(B7:C7)</f>
        <v>103</v>
      </c>
      <c r="E7" s="35" t="n">
        <f aca="false">ROUND(F7*H7,0)</f>
        <v>104</v>
      </c>
      <c r="F7" s="35" t="n">
        <v>160</v>
      </c>
      <c r="G7" s="35" t="n">
        <f aca="false">AVERAGE(E7:F7)</f>
        <v>132</v>
      </c>
      <c r="H7" s="35" t="n">
        <v>0.65</v>
      </c>
    </row>
    <row r="8" customFormat="false" ht="14.25" hidden="false" customHeight="true" outlineLevel="0" collapsed="false">
      <c r="A8" s="35" t="n">
        <v>1</v>
      </c>
      <c r="B8" s="6" t="n">
        <v>99</v>
      </c>
      <c r="C8" s="6" t="n">
        <v>128</v>
      </c>
      <c r="D8" s="35" t="n">
        <f aca="false">AVERAGE(B8:C8)</f>
        <v>113.5</v>
      </c>
      <c r="E8" s="35" t="n">
        <f aca="false">ROUND(F8*H8,0)</f>
        <v>114</v>
      </c>
      <c r="F8" s="35" t="n">
        <f aca="false">ROUND(F7*1.1,0)</f>
        <v>176</v>
      </c>
      <c r="G8" s="35" t="n">
        <f aca="false">AVERAGE(E8:F8)</f>
        <v>145</v>
      </c>
      <c r="H8" s="35" t="n">
        <v>0.65</v>
      </c>
      <c r="K8" s="2"/>
    </row>
    <row r="9" customFormat="false" ht="14.25" hidden="false" customHeight="true" outlineLevel="0" collapsed="false">
      <c r="A9" s="35" t="n">
        <v>2</v>
      </c>
      <c r="B9" s="6" t="n">
        <v>109</v>
      </c>
      <c r="C9" s="6" t="n">
        <v>141</v>
      </c>
      <c r="D9" s="35" t="n">
        <f aca="false">AVERAGE(B9:C9)</f>
        <v>125</v>
      </c>
      <c r="E9" s="35" t="n">
        <f aca="false">ROUND(F9*H9,0)</f>
        <v>126</v>
      </c>
      <c r="F9" s="35" t="n">
        <f aca="false">ROUND(F8*1.1,0)</f>
        <v>194</v>
      </c>
      <c r="G9" s="35" t="n">
        <f aca="false">AVERAGE(E9:F9)</f>
        <v>160</v>
      </c>
      <c r="H9" s="35" t="n">
        <v>0.65</v>
      </c>
    </row>
    <row r="10" customFormat="false" ht="14.25" hidden="false" customHeight="true" outlineLevel="0" collapsed="false">
      <c r="A10" s="35" t="n">
        <v>3</v>
      </c>
      <c r="B10" s="6" t="n">
        <v>120</v>
      </c>
      <c r="C10" s="6" t="n">
        <v>155</v>
      </c>
      <c r="D10" s="35" t="n">
        <f aca="false">AVERAGE(B10:C10)</f>
        <v>137.5</v>
      </c>
      <c r="E10" s="35" t="n">
        <f aca="false">ROUND(F10*H10,0)</f>
        <v>138</v>
      </c>
      <c r="F10" s="35" t="n">
        <f aca="false">ROUND(F9*1.1,0)</f>
        <v>213</v>
      </c>
      <c r="G10" s="35" t="n">
        <f aca="false">AVERAGE(E10:F10)</f>
        <v>175.5</v>
      </c>
      <c r="H10" s="35" t="n">
        <v>0.65</v>
      </c>
    </row>
    <row r="11" customFormat="false" ht="14.25" hidden="false" customHeight="true" outlineLevel="0" collapsed="false">
      <c r="A11" s="35" t="n">
        <v>4</v>
      </c>
      <c r="B11" s="6" t="n">
        <v>132</v>
      </c>
      <c r="C11" s="6" t="n">
        <v>171</v>
      </c>
      <c r="D11" s="35" t="n">
        <f aca="false">AVERAGE(B11:C11)</f>
        <v>151.5</v>
      </c>
      <c r="E11" s="35" t="n">
        <f aca="false">ROUND(F11*H11,0)</f>
        <v>152</v>
      </c>
      <c r="F11" s="35" t="n">
        <f aca="false">ROUND(F10*1.1,0)</f>
        <v>234</v>
      </c>
      <c r="G11" s="35" t="n">
        <f aca="false">AVERAGE(E11:F11)</f>
        <v>193</v>
      </c>
      <c r="H11" s="35" t="n">
        <v>0.65</v>
      </c>
    </row>
    <row r="12" customFormat="false" ht="14.25" hidden="false" customHeight="true" outlineLevel="0" collapsed="false">
      <c r="A12" s="35" t="n">
        <v>5</v>
      </c>
      <c r="B12" s="6" t="n">
        <v>145</v>
      </c>
      <c r="C12" s="6" t="n">
        <v>188</v>
      </c>
      <c r="D12" s="35" t="n">
        <f aca="false">AVERAGE(B12:C12)</f>
        <v>166.5</v>
      </c>
      <c r="E12" s="35" t="n">
        <f aca="false">ROUND(F12*H12,0)</f>
        <v>167</v>
      </c>
      <c r="F12" s="35" t="n">
        <f aca="false">ROUND(F11*1.1,0)</f>
        <v>257</v>
      </c>
      <c r="G12" s="35" t="n">
        <f aca="false">AVERAGE(E12:F12)</f>
        <v>212</v>
      </c>
      <c r="H12" s="35" t="n">
        <v>0.65</v>
      </c>
    </row>
    <row r="13" customFormat="false" ht="15.75" hidden="false" customHeight="false" outlineLevel="0" collapsed="false">
      <c r="A13" s="2"/>
    </row>
    <row r="14" customFormat="false" ht="15.75" hidden="false" customHeight="false" outlineLevel="0" collapsed="false">
      <c r="A14" s="19" t="s">
        <v>68</v>
      </c>
      <c r="B14" s="19"/>
      <c r="C14" s="19"/>
    </row>
    <row r="15" customFormat="false" ht="15.75" hidden="false" customHeight="false" outlineLevel="0" collapsed="false">
      <c r="A15" s="6" t="s">
        <v>69</v>
      </c>
      <c r="B15" s="6" t="s">
        <v>70</v>
      </c>
      <c r="C15" s="19" t="s">
        <v>71</v>
      </c>
      <c r="D15" s="19" t="s">
        <v>94</v>
      </c>
    </row>
    <row r="16" customFormat="false" ht="15.75" hidden="false" customHeight="false" outlineLevel="0" collapsed="false">
      <c r="A16" s="13" t="s">
        <v>191</v>
      </c>
      <c r="B16" s="13" t="s">
        <v>85</v>
      </c>
      <c r="C16" s="13" t="s">
        <v>192</v>
      </c>
      <c r="D16" s="13" t="s">
        <v>193</v>
      </c>
    </row>
    <row r="20" customFormat="false" ht="15.75" hidden="false" customHeight="false" outlineLevel="0" collapsed="false">
      <c r="A20" s="2" t="s">
        <v>84</v>
      </c>
    </row>
    <row r="21" customFormat="false" ht="15.75" hidden="false" customHeight="false" outlineLevel="0" collapsed="false">
      <c r="A21" s="2" t="s">
        <v>174</v>
      </c>
      <c r="B21" s="2" t="s">
        <v>175</v>
      </c>
      <c r="C21" s="2" t="s">
        <v>176</v>
      </c>
      <c r="D21" s="2" t="s">
        <v>177</v>
      </c>
    </row>
    <row r="22" customFormat="false" ht="15.75" hidden="false" customHeight="false" outlineLevel="0" collapsed="false">
      <c r="A22" s="18" t="s">
        <v>186</v>
      </c>
      <c r="B22" s="18" t="s">
        <v>103</v>
      </c>
      <c r="C22" s="18" t="s">
        <v>104</v>
      </c>
      <c r="D22" s="18" t="s">
        <v>194</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25"/>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63"/>
    <col collapsed="false" customWidth="true" hidden="false" outlineLevel="0" max="7" min="7" style="1" width="25.88"/>
    <col collapsed="false" customWidth="true" hidden="false" outlineLevel="0" max="9" min="9" style="1" width="21.12"/>
    <col collapsed="false" customWidth="true" hidden="false" outlineLevel="0" max="10" min="10" style="1" width="24.52"/>
  </cols>
  <sheetData>
    <row r="1" customFormat="false" ht="15.75" hidden="false" customHeight="false" outlineLevel="0" collapsed="false">
      <c r="A1" s="2"/>
      <c r="B1" s="2"/>
      <c r="C1" s="2"/>
      <c r="D1" s="2"/>
      <c r="E1" s="2"/>
      <c r="F1" s="2"/>
      <c r="G1" s="2"/>
      <c r="H1" s="2"/>
    </row>
    <row r="2" customFormat="false" ht="15.75" hidden="false" customHeight="false" outlineLevel="0" collapsed="false">
      <c r="A2" s="2"/>
      <c r="B2" s="2" t="s">
        <v>59</v>
      </c>
      <c r="C2" s="2"/>
      <c r="D2" s="2"/>
      <c r="E2" s="2"/>
      <c r="F2" s="2"/>
      <c r="G2" s="2"/>
      <c r="H2" s="2"/>
    </row>
    <row r="3" customFormat="false" ht="15.75" hidden="false" customHeight="true" outlineLevel="0" collapsed="false">
      <c r="A3" s="6"/>
      <c r="B3" s="6" t="s">
        <v>60</v>
      </c>
      <c r="C3" s="6"/>
      <c r="D3" s="6"/>
      <c r="E3" s="6"/>
      <c r="F3" s="6"/>
      <c r="G3" s="6"/>
      <c r="H3" s="6"/>
    </row>
    <row r="4" customFormat="false" ht="15.75" hidden="false" customHeight="true" outlineLevel="0" collapsed="false">
      <c r="A4" s="2"/>
      <c r="B4" s="2"/>
      <c r="C4" s="2"/>
      <c r="D4" s="2"/>
      <c r="E4" s="2"/>
      <c r="F4" s="2"/>
      <c r="G4" s="2"/>
      <c r="H4" s="2"/>
    </row>
    <row r="5" customFormat="false" ht="15.75" hidden="false" customHeight="true" outlineLevel="0" collapsed="false">
      <c r="A5" s="34" t="s">
        <v>1</v>
      </c>
      <c r="B5" s="34" t="s">
        <v>61</v>
      </c>
      <c r="C5" s="34" t="s">
        <v>62</v>
      </c>
      <c r="D5" s="34" t="s">
        <v>63</v>
      </c>
      <c r="E5" s="34" t="s">
        <v>64</v>
      </c>
      <c r="F5" s="34" t="s">
        <v>65</v>
      </c>
      <c r="G5" s="34" t="s">
        <v>66</v>
      </c>
      <c r="H5" s="34" t="s">
        <v>67</v>
      </c>
    </row>
    <row r="6" customFormat="false" ht="15.75" hidden="false" customHeight="true" outlineLevel="0" collapsed="false">
      <c r="A6" s="35" t="n">
        <v>-1</v>
      </c>
      <c r="B6" s="35" t="n">
        <v>61</v>
      </c>
      <c r="C6" s="35" t="n">
        <v>77</v>
      </c>
      <c r="D6" s="35" t="n">
        <f aca="false">AVERAGE(B6:C6)</f>
        <v>69</v>
      </c>
      <c r="E6" s="35" t="n">
        <f aca="false">ROUND(F6*H6,0)</f>
        <v>69</v>
      </c>
      <c r="F6" s="35" t="n">
        <f aca="false">ROUND(F7 * 0.9,0)</f>
        <v>86</v>
      </c>
      <c r="G6" s="35" t="n">
        <f aca="false">AVERAGE(E6:F6)</f>
        <v>77.5</v>
      </c>
      <c r="H6" s="35" t="n">
        <v>0.8</v>
      </c>
    </row>
    <row r="7" customFormat="false" ht="15.75" hidden="false" customHeight="true" outlineLevel="0" collapsed="false">
      <c r="A7" s="35" t="n">
        <v>0</v>
      </c>
      <c r="B7" s="35" t="n">
        <v>65</v>
      </c>
      <c r="C7" s="35" t="n">
        <v>83</v>
      </c>
      <c r="D7" s="35" t="n">
        <f aca="false">AVERAGE(B7:C7)</f>
        <v>74</v>
      </c>
      <c r="E7" s="35" t="n">
        <f aca="false">ROUND(F7*H7,0)</f>
        <v>76</v>
      </c>
      <c r="F7" s="35" t="n">
        <v>95</v>
      </c>
      <c r="G7" s="35" t="n">
        <f aca="false">AVERAGE(E7:F7)</f>
        <v>85.5</v>
      </c>
      <c r="H7" s="35" t="n">
        <v>0.8</v>
      </c>
    </row>
    <row r="8" customFormat="false" ht="15.75" hidden="false" customHeight="true" outlineLevel="0" collapsed="false">
      <c r="A8" s="35" t="n">
        <v>1</v>
      </c>
      <c r="B8" s="6" t="n">
        <v>72</v>
      </c>
      <c r="C8" s="6" t="n">
        <v>91</v>
      </c>
      <c r="D8" s="35" t="n">
        <f aca="false">AVERAGE(B8:C8)</f>
        <v>81.5</v>
      </c>
      <c r="E8" s="35" t="n">
        <f aca="false">ROUND(F8*H8,0)</f>
        <v>84</v>
      </c>
      <c r="F8" s="35" t="n">
        <f aca="false">ROUND(F7*1.1,0)</f>
        <v>105</v>
      </c>
      <c r="G8" s="35" t="n">
        <f aca="false">AVERAGE(E8:F8)</f>
        <v>94.5</v>
      </c>
      <c r="H8" s="35" t="n">
        <v>0.8</v>
      </c>
      <c r="K8" s="2"/>
    </row>
    <row r="9" customFormat="false" ht="15.75" hidden="false" customHeight="true" outlineLevel="0" collapsed="false">
      <c r="A9" s="35" t="n">
        <v>2</v>
      </c>
      <c r="B9" s="6" t="n">
        <v>79</v>
      </c>
      <c r="C9" s="6" t="n">
        <v>100</v>
      </c>
      <c r="D9" s="35" t="n">
        <f aca="false">AVERAGE(B9:C9)</f>
        <v>89.5</v>
      </c>
      <c r="E9" s="35" t="n">
        <f aca="false">ROUND(F9*H9,0)</f>
        <v>93</v>
      </c>
      <c r="F9" s="35" t="n">
        <f aca="false">ROUND(F8*1.1,0)</f>
        <v>116</v>
      </c>
      <c r="G9" s="35" t="n">
        <f aca="false">AVERAGE(E9:F9)</f>
        <v>104.5</v>
      </c>
      <c r="H9" s="35" t="n">
        <v>0.8</v>
      </c>
    </row>
    <row r="10" customFormat="false" ht="15.75" hidden="false" customHeight="true" outlineLevel="0" collapsed="false">
      <c r="A10" s="35" t="n">
        <v>3</v>
      </c>
      <c r="B10" s="6" t="n">
        <v>87</v>
      </c>
      <c r="C10" s="6" t="n">
        <v>110</v>
      </c>
      <c r="D10" s="35" t="n">
        <f aca="false">AVERAGE(B10:C10)</f>
        <v>98.5</v>
      </c>
      <c r="E10" s="35" t="n">
        <f aca="false">ROUND(F10*H10,0)</f>
        <v>102</v>
      </c>
      <c r="F10" s="35" t="n">
        <f aca="false">ROUND(F9*1.1,0)</f>
        <v>128</v>
      </c>
      <c r="G10" s="35" t="n">
        <f aca="false">AVERAGE(E10:F10)</f>
        <v>115</v>
      </c>
      <c r="H10" s="35" t="n">
        <v>0.8</v>
      </c>
    </row>
    <row r="11" customFormat="false" ht="15.75" hidden="false" customHeight="true" outlineLevel="0" collapsed="false">
      <c r="A11" s="35" t="n">
        <v>4</v>
      </c>
      <c r="B11" s="6" t="n">
        <v>96</v>
      </c>
      <c r="C11" s="6" t="n">
        <v>121</v>
      </c>
      <c r="D11" s="35" t="n">
        <f aca="false">AVERAGE(B11:C11)</f>
        <v>108.5</v>
      </c>
      <c r="E11" s="35" t="n">
        <f aca="false">ROUND(F11*H11,0)</f>
        <v>113</v>
      </c>
      <c r="F11" s="35" t="n">
        <f aca="false">ROUND(F10*1.1,0)</f>
        <v>141</v>
      </c>
      <c r="G11" s="35" t="n">
        <f aca="false">AVERAGE(E11:F11)</f>
        <v>127</v>
      </c>
      <c r="H11" s="35" t="n">
        <v>0.8</v>
      </c>
    </row>
    <row r="12" customFormat="false" ht="15.75" hidden="false" customHeight="true" outlineLevel="0" collapsed="false">
      <c r="A12" s="36" t="n">
        <v>5</v>
      </c>
      <c r="B12" s="37" t="n">
        <v>106</v>
      </c>
      <c r="C12" s="37" t="n">
        <v>133</v>
      </c>
      <c r="D12" s="35" t="n">
        <f aca="false">AVERAGE(B12:C12)</f>
        <v>119.5</v>
      </c>
      <c r="E12" s="35" t="n">
        <f aca="false">ROUND(F12*H12,0)</f>
        <v>124</v>
      </c>
      <c r="F12" s="35" t="n">
        <f aca="false">ROUND(F11*1.1,0)</f>
        <v>155</v>
      </c>
      <c r="G12" s="35" t="n">
        <f aca="false">AVERAGE(E12:F12)</f>
        <v>139.5</v>
      </c>
      <c r="H12" s="35" t="n">
        <v>0.8</v>
      </c>
    </row>
    <row r="13" customFormat="false" ht="15.75" hidden="false" customHeight="false" outlineLevel="0" collapsed="false">
      <c r="A13" s="38"/>
      <c r="B13" s="39"/>
      <c r="C13" s="39"/>
      <c r="D13" s="2"/>
      <c r="E13" s="40"/>
      <c r="F13" s="40"/>
      <c r="G13" s="40"/>
      <c r="H13" s="40"/>
    </row>
    <row r="14" customFormat="false" ht="15.75" hidden="false" customHeight="false" outlineLevel="0" collapsed="false">
      <c r="A14" s="41" t="s">
        <v>68</v>
      </c>
      <c r="B14" s="41"/>
      <c r="C14" s="41"/>
    </row>
    <row r="15" customFormat="false" ht="15.75" hidden="false" customHeight="false" outlineLevel="0" collapsed="false">
      <c r="A15" s="6" t="s">
        <v>69</v>
      </c>
      <c r="B15" s="6" t="s">
        <v>195</v>
      </c>
      <c r="C15" s="19" t="s">
        <v>196</v>
      </c>
      <c r="D15" s="19" t="s">
        <v>94</v>
      </c>
    </row>
    <row r="16" customFormat="false" ht="15.75" hidden="false" customHeight="false" outlineLevel="0" collapsed="false">
      <c r="A16" s="13" t="s">
        <v>82</v>
      </c>
      <c r="B16" s="13" t="s">
        <v>85</v>
      </c>
      <c r="C16" s="13" t="s">
        <v>197</v>
      </c>
      <c r="D16" s="13" t="s">
        <v>198</v>
      </c>
    </row>
    <row r="20" customFormat="false" ht="15.75" hidden="false" customHeight="false" outlineLevel="0" collapsed="false">
      <c r="A20" s="2" t="s">
        <v>84</v>
      </c>
    </row>
    <row r="21" customFormat="false" ht="15.75" hidden="false" customHeight="false" outlineLevel="0" collapsed="false">
      <c r="A21" s="2" t="s">
        <v>174</v>
      </c>
      <c r="B21" s="2" t="s">
        <v>175</v>
      </c>
      <c r="C21" s="2" t="s">
        <v>176</v>
      </c>
      <c r="D21" s="2" t="s">
        <v>177</v>
      </c>
    </row>
    <row r="22" customFormat="false" ht="15.75" hidden="false" customHeight="false" outlineLevel="0" collapsed="false">
      <c r="A22" s="18" t="s">
        <v>199</v>
      </c>
      <c r="B22" s="18" t="s">
        <v>5</v>
      </c>
      <c r="C22" s="18" t="s">
        <v>17</v>
      </c>
      <c r="D22" s="18" t="s">
        <v>200</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1.12"/>
    <col collapsed="false" customWidth="true" hidden="false" outlineLevel="0" max="10" min="10"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84</v>
      </c>
      <c r="C6" s="7" t="n">
        <v>101</v>
      </c>
      <c r="D6" s="7" t="n">
        <f aca="false">AVERAGE(B6:C6)</f>
        <v>92.5</v>
      </c>
      <c r="E6" s="7" t="n">
        <f aca="false">ROUND(F6*H6,0)</f>
        <v>79</v>
      </c>
      <c r="F6" s="7" t="n">
        <f aca="false">ROUND(F7 * 0.9,0)</f>
        <v>99</v>
      </c>
      <c r="G6" s="7" t="n">
        <f aca="false">AVERAGE(E6:F6)</f>
        <v>89</v>
      </c>
      <c r="H6" s="7" t="n">
        <v>0.8</v>
      </c>
    </row>
    <row r="7" customFormat="false" ht="22.5" hidden="false" customHeight="true" outlineLevel="0" collapsed="false">
      <c r="A7" s="7" t="n">
        <v>0</v>
      </c>
      <c r="B7" s="7" t="n">
        <v>91</v>
      </c>
      <c r="C7" s="7" t="n">
        <v>108</v>
      </c>
      <c r="D7" s="7" t="n">
        <f aca="false">AVERAGE(B7:C7)</f>
        <v>99.5</v>
      </c>
      <c r="E7" s="7" t="n">
        <f aca="false">ROUND(F7*H7,0)</f>
        <v>88</v>
      </c>
      <c r="F7" s="7" t="n">
        <v>110</v>
      </c>
      <c r="G7" s="7" t="n">
        <f aca="false">AVERAGE(E7:F7)</f>
        <v>99</v>
      </c>
      <c r="H7" s="7" t="n">
        <v>0.8</v>
      </c>
    </row>
    <row r="8" customFormat="false" ht="15.75" hidden="false" customHeight="true" outlineLevel="0" collapsed="false">
      <c r="A8" s="7" t="n">
        <v>1</v>
      </c>
      <c r="B8" s="7" t="n">
        <v>101</v>
      </c>
      <c r="C8" s="7" t="n">
        <v>120</v>
      </c>
      <c r="D8" s="7" t="n">
        <f aca="false">AVERAGE(B8:C8)</f>
        <v>110.5</v>
      </c>
      <c r="E8" s="7" t="n">
        <f aca="false">ROUND(F8*H8,0)</f>
        <v>97</v>
      </c>
      <c r="F8" s="7" t="n">
        <f aca="false">FLOOR(F7*1.1,1)</f>
        <v>121</v>
      </c>
      <c r="G8" s="7" t="n">
        <f aca="false">AVERAGE(E8:F8)</f>
        <v>109</v>
      </c>
      <c r="H8" s="7" t="n">
        <v>0.8</v>
      </c>
      <c r="K8" s="2"/>
    </row>
    <row r="9" customFormat="false" ht="22.5" hidden="false" customHeight="true" outlineLevel="0" collapsed="false">
      <c r="A9" s="7" t="n">
        <v>2</v>
      </c>
      <c r="B9" s="7" t="n">
        <v>122</v>
      </c>
      <c r="C9" s="7" t="n">
        <v>133</v>
      </c>
      <c r="D9" s="7" t="n">
        <f aca="false">AVERAGE(B9:C9)</f>
        <v>127.5</v>
      </c>
      <c r="E9" s="7" t="n">
        <f aca="false">ROUND(F9*H9,0)</f>
        <v>106</v>
      </c>
      <c r="F9" s="7" t="n">
        <f aca="false">FLOOR(F8*1.1,1)</f>
        <v>133</v>
      </c>
      <c r="G9" s="7" t="n">
        <f aca="false">AVERAGE(E9:F9)</f>
        <v>119.5</v>
      </c>
      <c r="H9" s="7" t="n">
        <v>0.8</v>
      </c>
    </row>
    <row r="10" customFormat="false" ht="16.5" hidden="false" customHeight="true" outlineLevel="0" collapsed="false">
      <c r="A10" s="7" t="n">
        <v>3</v>
      </c>
      <c r="B10" s="7" t="n">
        <v>124</v>
      </c>
      <c r="C10" s="7" t="n">
        <v>148</v>
      </c>
      <c r="D10" s="7" t="n">
        <f aca="false">AVERAGE(B10:C10)</f>
        <v>136</v>
      </c>
      <c r="E10" s="7" t="n">
        <f aca="false">ROUND(F10*H10,0)</f>
        <v>117</v>
      </c>
      <c r="F10" s="7" t="n">
        <f aca="false">FLOOR(F9*1.1,1)</f>
        <v>146</v>
      </c>
      <c r="G10" s="7" t="n">
        <f aca="false">AVERAGE(E10:F10)</f>
        <v>131.5</v>
      </c>
      <c r="H10" s="7" t="n">
        <v>0.8</v>
      </c>
    </row>
    <row r="11" customFormat="false" ht="16.5" hidden="false" customHeight="true" outlineLevel="0" collapsed="false">
      <c r="A11" s="7" t="n">
        <v>4</v>
      </c>
      <c r="B11" s="7" t="n">
        <v>138</v>
      </c>
      <c r="C11" s="7" t="n">
        <v>164</v>
      </c>
      <c r="D11" s="7" t="n">
        <f aca="false">AVERAGE(B11:C11)</f>
        <v>151</v>
      </c>
      <c r="E11" s="7" t="n">
        <f aca="false">ROUND(F11*H11,0)</f>
        <v>128</v>
      </c>
      <c r="F11" s="7" t="n">
        <f aca="false">FLOOR(F10*1.1,1)</f>
        <v>160</v>
      </c>
      <c r="G11" s="7" t="n">
        <f aca="false">AVERAGE(E11:F11)</f>
        <v>144</v>
      </c>
      <c r="H11" s="7" t="n">
        <v>0.8</v>
      </c>
    </row>
    <row r="12" customFormat="false" ht="22.5" hidden="false" customHeight="true" outlineLevel="0" collapsed="false">
      <c r="A12" s="7" t="n">
        <v>5</v>
      </c>
      <c r="B12" s="7" t="n">
        <v>153</v>
      </c>
      <c r="C12" s="7" t="n">
        <v>182</v>
      </c>
      <c r="D12" s="7" t="n">
        <f aca="false">AVERAGE(B12:C12)</f>
        <v>167.5</v>
      </c>
      <c r="E12" s="7" t="n">
        <f aca="false">ROUND(F12*H12,0)</f>
        <v>141</v>
      </c>
      <c r="F12" s="7" t="n">
        <f aca="false">FLOOR(F11*1.1,1)</f>
        <v>176</v>
      </c>
      <c r="G12" s="7" t="n">
        <f aca="false">AVERAGE(E12:F12)</f>
        <v>158.5</v>
      </c>
      <c r="H12" s="7" t="n">
        <v>0.8</v>
      </c>
    </row>
    <row r="13" customFormat="false" ht="15.75" hidden="false" customHeight="false" outlineLevel="0" collapsed="false">
      <c r="A13" s="19"/>
      <c r="B13" s="19"/>
      <c r="C13" s="19"/>
    </row>
    <row r="14" customFormat="false" ht="15.75" hidden="false" customHeight="false" outlineLevel="0" collapsed="false">
      <c r="A14" s="6" t="s">
        <v>68</v>
      </c>
      <c r="B14" s="6"/>
      <c r="C14" s="6"/>
    </row>
    <row r="15" customFormat="false" ht="15.75" hidden="false" customHeight="false" outlineLevel="0" collapsed="false">
      <c r="A15" s="6" t="s">
        <v>69</v>
      </c>
      <c r="B15" s="6" t="s">
        <v>70</v>
      </c>
      <c r="C15" s="6" t="s">
        <v>71</v>
      </c>
    </row>
    <row r="16" customFormat="false" ht="15.75" hidden="false" customHeight="false" outlineLevel="0" collapsed="false">
      <c r="A16" s="13" t="s">
        <v>201</v>
      </c>
      <c r="B16" s="13" t="s">
        <v>92</v>
      </c>
      <c r="C16" s="13" t="s">
        <v>202</v>
      </c>
    </row>
    <row r="20" customFormat="false" ht="15.75" hidden="false" customHeight="false" outlineLevel="0" collapsed="false">
      <c r="A20" s="2" t="s">
        <v>84</v>
      </c>
    </row>
    <row r="21" customFormat="false" ht="15.75" hidden="false" customHeight="false" outlineLevel="0" collapsed="false">
      <c r="A21" s="2" t="s">
        <v>174</v>
      </c>
      <c r="B21" s="2" t="s">
        <v>175</v>
      </c>
      <c r="C21" s="2" t="s">
        <v>176</v>
      </c>
      <c r="D21" s="2" t="s">
        <v>177</v>
      </c>
    </row>
    <row r="22" customFormat="false" ht="15.75" hidden="false" customHeight="false" outlineLevel="0" collapsed="false">
      <c r="A22" s="30" t="s">
        <v>103</v>
      </c>
      <c r="B22" s="30" t="s">
        <v>107</v>
      </c>
      <c r="C22" s="30" t="s">
        <v>33</v>
      </c>
      <c r="D22" s="18" t="s">
        <v>32</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6" activeCellId="0" sqref="E16"/>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25"/>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63"/>
    <col collapsed="false" customWidth="true" hidden="false" outlineLevel="0" max="7" min="7" style="1" width="25.88"/>
    <col collapsed="false" customWidth="true" hidden="false" outlineLevel="0" max="9" min="9" style="1" width="21.12"/>
    <col collapsed="false" customWidth="true" hidden="false" outlineLevel="0" max="10" min="10" style="1" width="24.52"/>
  </cols>
  <sheetData>
    <row r="1" customFormat="false" ht="15.75" hidden="false" customHeight="false" outlineLevel="0" collapsed="false">
      <c r="A1" s="2"/>
      <c r="B1" s="2"/>
      <c r="C1" s="2"/>
      <c r="D1" s="2"/>
      <c r="E1" s="2"/>
      <c r="F1" s="2"/>
      <c r="G1" s="2"/>
      <c r="H1" s="2"/>
    </row>
    <row r="2" customFormat="false" ht="15.75" hidden="false" customHeight="false" outlineLevel="0" collapsed="false">
      <c r="A2" s="2"/>
      <c r="B2" s="2" t="s">
        <v>59</v>
      </c>
      <c r="C2" s="2"/>
      <c r="D2" s="2"/>
      <c r="E2" s="2"/>
      <c r="F2" s="2"/>
      <c r="G2" s="2"/>
      <c r="H2" s="2"/>
    </row>
    <row r="3" customFormat="false" ht="15.75" hidden="false" customHeight="true" outlineLevel="0" collapsed="false">
      <c r="A3" s="6"/>
      <c r="B3" s="6" t="s">
        <v>60</v>
      </c>
      <c r="C3" s="6"/>
      <c r="D3" s="6"/>
      <c r="E3" s="6"/>
      <c r="F3" s="6"/>
      <c r="G3" s="6"/>
      <c r="H3" s="6"/>
    </row>
    <row r="4" customFormat="false" ht="15.75" hidden="false" customHeight="true" outlineLevel="0" collapsed="false">
      <c r="A4" s="2"/>
      <c r="B4" s="2"/>
      <c r="C4" s="2"/>
      <c r="D4" s="2"/>
      <c r="E4" s="2"/>
      <c r="F4" s="2"/>
      <c r="G4" s="2"/>
      <c r="H4" s="2"/>
    </row>
    <row r="5" customFormat="false" ht="15.75" hidden="false" customHeight="true" outlineLevel="0" collapsed="false">
      <c r="A5" s="34" t="s">
        <v>1</v>
      </c>
      <c r="B5" s="34" t="s">
        <v>61</v>
      </c>
      <c r="C5" s="34" t="s">
        <v>62</v>
      </c>
      <c r="D5" s="34" t="s">
        <v>63</v>
      </c>
      <c r="E5" s="34" t="s">
        <v>64</v>
      </c>
      <c r="F5" s="34" t="s">
        <v>65</v>
      </c>
      <c r="G5" s="34" t="s">
        <v>66</v>
      </c>
      <c r="H5" s="34" t="s">
        <v>67</v>
      </c>
    </row>
    <row r="6" customFormat="false" ht="15.75" hidden="false" customHeight="true" outlineLevel="0" collapsed="false">
      <c r="A6" s="35" t="n">
        <v>-1</v>
      </c>
      <c r="B6" s="35" t="n">
        <v>84</v>
      </c>
      <c r="C6" s="35" t="n">
        <v>117</v>
      </c>
      <c r="D6" s="35" t="n">
        <f aca="false">AVERAGE(B6:C6)</f>
        <v>100.5</v>
      </c>
      <c r="E6" s="35" t="n">
        <f aca="false">ROUND(F6*H6,0)</f>
        <v>77</v>
      </c>
      <c r="F6" s="35" t="n">
        <f aca="false">ROUND(F7 * 0.9,0)</f>
        <v>153</v>
      </c>
      <c r="G6" s="35" t="n">
        <f aca="false">AVERAGE(E6:F6)</f>
        <v>115</v>
      </c>
      <c r="H6" s="35" t="n">
        <v>0.5</v>
      </c>
    </row>
    <row r="7" customFormat="false" ht="15.75" hidden="false" customHeight="true" outlineLevel="0" collapsed="false">
      <c r="A7" s="35" t="n">
        <v>0</v>
      </c>
      <c r="B7" s="35" t="n">
        <v>89</v>
      </c>
      <c r="C7" s="35" t="n">
        <v>124</v>
      </c>
      <c r="D7" s="35" t="n">
        <f aca="false">AVERAGE(B7:C7)</f>
        <v>106.5</v>
      </c>
      <c r="E7" s="35" t="n">
        <f aca="false">ROUND(F7*H7,0)</f>
        <v>85</v>
      </c>
      <c r="F7" s="35" t="n">
        <v>170</v>
      </c>
      <c r="G7" s="35" t="n">
        <f aca="false">AVERAGE(E7:F7)</f>
        <v>127.5</v>
      </c>
      <c r="H7" s="35" t="n">
        <v>0.5</v>
      </c>
    </row>
    <row r="8" customFormat="false" ht="15.75" hidden="false" customHeight="true" outlineLevel="0" collapsed="false">
      <c r="A8" s="35" t="n">
        <v>1</v>
      </c>
      <c r="B8" s="6" t="n">
        <v>93</v>
      </c>
      <c r="C8" s="6" t="n">
        <v>130</v>
      </c>
      <c r="D8" s="35" t="n">
        <f aca="false">AVERAGE(B8:C8)</f>
        <v>111.5</v>
      </c>
      <c r="E8" s="35" t="n">
        <f aca="false">ROUND(F8*H8,0)</f>
        <v>94</v>
      </c>
      <c r="F8" s="35" t="n">
        <f aca="false">ROUND(F7*1.1,0)</f>
        <v>187</v>
      </c>
      <c r="G8" s="35" t="n">
        <f aca="false">AVERAGE(E8:F8)</f>
        <v>140.5</v>
      </c>
      <c r="H8" s="35" t="n">
        <v>0.5</v>
      </c>
      <c r="K8" s="2"/>
    </row>
    <row r="9" customFormat="false" ht="15.75" hidden="false" customHeight="true" outlineLevel="0" collapsed="false">
      <c r="A9" s="35" t="n">
        <v>2</v>
      </c>
      <c r="B9" s="6" t="n">
        <v>103</v>
      </c>
      <c r="C9" s="6" t="n">
        <v>144</v>
      </c>
      <c r="D9" s="35" t="n">
        <f aca="false">AVERAGE(B9:C9)</f>
        <v>123.5</v>
      </c>
      <c r="E9" s="35" t="n">
        <f aca="false">ROUND(F9*H9,0)</f>
        <v>103</v>
      </c>
      <c r="F9" s="35" t="n">
        <f aca="false">ROUND(F8*1.1,0)</f>
        <v>206</v>
      </c>
      <c r="G9" s="35" t="n">
        <f aca="false">AVERAGE(E9:F9)</f>
        <v>154.5</v>
      </c>
      <c r="H9" s="35" t="n">
        <v>0.5</v>
      </c>
    </row>
    <row r="10" customFormat="false" ht="15.75" hidden="false" customHeight="true" outlineLevel="0" collapsed="false">
      <c r="A10" s="35" t="n">
        <v>3</v>
      </c>
      <c r="B10" s="6" t="n">
        <v>114</v>
      </c>
      <c r="C10" s="6" t="n">
        <v>160</v>
      </c>
      <c r="D10" s="35" t="n">
        <f aca="false">AVERAGE(B10:C10)</f>
        <v>137</v>
      </c>
      <c r="E10" s="35" t="n">
        <f aca="false">ROUND(F10*H10,0)</f>
        <v>114</v>
      </c>
      <c r="F10" s="35" t="n">
        <f aca="false">ROUND(F9*1.1,0)</f>
        <v>227</v>
      </c>
      <c r="G10" s="35" t="n">
        <f aca="false">AVERAGE(E10:F10)</f>
        <v>170.5</v>
      </c>
      <c r="H10" s="35" t="n">
        <v>0.5</v>
      </c>
    </row>
    <row r="11" customFormat="false" ht="15.75" hidden="false" customHeight="true" outlineLevel="0" collapsed="false">
      <c r="A11" s="35" t="n">
        <v>4</v>
      </c>
      <c r="B11" s="6" t="n">
        <v>127</v>
      </c>
      <c r="C11" s="6" t="n">
        <v>178</v>
      </c>
      <c r="D11" s="35" t="n">
        <f aca="false">AVERAGE(B11:C11)</f>
        <v>152.5</v>
      </c>
      <c r="E11" s="35" t="n">
        <f aca="false">ROUND(F11*H11,0)</f>
        <v>125</v>
      </c>
      <c r="F11" s="35" t="n">
        <f aca="false">ROUND(F10*1.1,0)</f>
        <v>250</v>
      </c>
      <c r="G11" s="35" t="n">
        <f aca="false">AVERAGE(E11:F11)</f>
        <v>187.5</v>
      </c>
      <c r="H11" s="35" t="n">
        <v>0.5</v>
      </c>
    </row>
    <row r="12" customFormat="false" ht="15.75" hidden="false" customHeight="true" outlineLevel="0" collapsed="false">
      <c r="A12" s="36" t="n">
        <v>5</v>
      </c>
      <c r="B12" s="37" t="n">
        <v>141</v>
      </c>
      <c r="C12" s="37" t="n">
        <v>198</v>
      </c>
      <c r="D12" s="35" t="n">
        <f aca="false">AVERAGE(B12:C12)</f>
        <v>169.5</v>
      </c>
      <c r="E12" s="35" t="n">
        <f aca="false">ROUND(F12*H12,0)</f>
        <v>138</v>
      </c>
      <c r="F12" s="35" t="n">
        <f aca="false">ROUND(F11*1.1,0)</f>
        <v>275</v>
      </c>
      <c r="G12" s="35" t="n">
        <f aca="false">AVERAGE(E12:F12)</f>
        <v>206.5</v>
      </c>
      <c r="H12" s="35" t="n">
        <v>0.5</v>
      </c>
    </row>
    <row r="13" customFormat="false" ht="15.75" hidden="false" customHeight="false" outlineLevel="0" collapsed="false">
      <c r="A13" s="38"/>
      <c r="B13" s="39"/>
      <c r="C13" s="39"/>
      <c r="D13" s="2"/>
      <c r="E13" s="40"/>
      <c r="F13" s="40"/>
      <c r="G13" s="40"/>
      <c r="H13" s="40"/>
    </row>
    <row r="14" customFormat="false" ht="15.75" hidden="false" customHeight="false" outlineLevel="0" collapsed="false">
      <c r="A14" s="41" t="s">
        <v>68</v>
      </c>
      <c r="B14" s="41"/>
      <c r="C14" s="41"/>
    </row>
    <row r="15" customFormat="false" ht="15.75" hidden="false" customHeight="false" outlineLevel="0" collapsed="false">
      <c r="A15" s="6" t="s">
        <v>69</v>
      </c>
      <c r="B15" s="6" t="s">
        <v>203</v>
      </c>
      <c r="C15" s="19" t="s">
        <v>204</v>
      </c>
      <c r="D15" s="19" t="s">
        <v>94</v>
      </c>
      <c r="E15" s="6" t="s">
        <v>124</v>
      </c>
    </row>
    <row r="16" customFormat="false" ht="109.5" hidden="false" customHeight="true" outlineLevel="0" collapsed="false">
      <c r="A16" s="13" t="s">
        <v>205</v>
      </c>
      <c r="B16" s="13" t="s">
        <v>85</v>
      </c>
      <c r="C16" s="13" t="s">
        <v>206</v>
      </c>
      <c r="D16" s="13" t="s">
        <v>207</v>
      </c>
      <c r="E16" s="13" t="s">
        <v>208</v>
      </c>
    </row>
    <row r="17" customFormat="false" ht="15.75" hidden="false" customHeight="false" outlineLevel="0" collapsed="false">
      <c r="D17" s="2"/>
    </row>
    <row r="20" customFormat="false" ht="15.75" hidden="false" customHeight="false" outlineLevel="0" collapsed="false">
      <c r="A20" s="2" t="s">
        <v>84</v>
      </c>
    </row>
    <row r="21" customFormat="false" ht="15.75" hidden="false" customHeight="false" outlineLevel="0" collapsed="false">
      <c r="A21" s="2" t="s">
        <v>174</v>
      </c>
      <c r="B21" s="2" t="s">
        <v>175</v>
      </c>
      <c r="C21" s="2" t="s">
        <v>176</v>
      </c>
      <c r="D21" s="2" t="s">
        <v>177</v>
      </c>
    </row>
    <row r="22" customFormat="false" ht="15.75" hidden="false" customHeight="false" outlineLevel="0" collapsed="false">
      <c r="A22" s="30" t="s">
        <v>103</v>
      </c>
      <c r="B22" s="30" t="s">
        <v>8</v>
      </c>
      <c r="C22" s="30" t="s">
        <v>7</v>
      </c>
      <c r="D22" s="18" t="s">
        <v>35</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111</TotalTime>
  <Application>LibreOffice/7.5.4.2$Windows_X86_64 LibreOffice_project/36ccfdc35048b057fd9854c757a8b67ec53977b6</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pl-PL</dc:language>
  <cp:lastModifiedBy/>
  <dcterms:modified xsi:type="dcterms:W3CDTF">2026-05-29T19:16:48Z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