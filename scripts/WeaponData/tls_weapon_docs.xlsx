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27.xml.rels" ContentType="application/vnd.openxmlformats-package.relationships+xml"/>
  <Override PartName="/xl/worksheets/_rels/sheet28.xml.rels" ContentType="application/vnd.openxmlformats-package.relationships+xml"/>
  <Override PartName="/xl/tables/table21.xml" ContentType="application/vnd.openxmlformats-officedocument.spreadsheetml.table+xml"/>
  <Override PartName="/xl/tables/table22.xml" ContentType="application/vnd.openxmlformats-officedocument.spreadsheetml.table+xml"/>
  <Override PartName="/xl/tables/table1.xml" ContentType="application/vnd.openxmlformats-officedocument.spreadsheetml.table+xml"/>
  <Override PartName="/xl/tables/table12.xml" ContentType="application/vnd.openxmlformats-officedocument.spreadsheetml.table+xml"/>
  <Override PartName="/xl/tables/table23.xml" ContentType="application/vnd.openxmlformats-officedocument.spreadsheetml.table+xml"/>
  <Override PartName="/xl/tables/table20.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drawings/vmlDrawing12.vml" ContentType="application/vnd.openxmlformats-officedocument.vmlDrawing"/>
  <Override PartName="/xl/drawings/vmlDrawing13.vml" ContentType="application/vnd.openxmlformats-officedocument.vmlDrawing"/>
  <Override PartName="/xl/sharedStrings.xml" ContentType="application/vnd.openxmlformats-officedocument.spreadsheetml.sharedStrings+xml"/>
  <Override PartName="/xl/comments4.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xl/comments22.xml" ContentType="application/vnd.openxmlformats-officedocument.spreadsheetml.comments+xml"/>
  <Override PartName="/xl/comments26.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4"/>
  </bookViews>
  <sheets>
    <sheet name="Tier 1 Variant Values" sheetId="1" state="visible" r:id="rId2"/>
    <sheet name="Tier 2 Variant Values" sheetId="2" state="visible" r:id="rId3"/>
    <sheet name="sword" sheetId="3" state="visible" r:id="rId4"/>
    <sheet name="Hammer" sheetId="4" state="visible" r:id="rId5"/>
    <sheet name="1h Axe" sheetId="5" state="visible" r:id="rId6"/>
    <sheet name="Dagger" sheetId="6" state="visible" r:id="rId7"/>
    <sheet name="2h sword" sheetId="7" state="visible" r:id="rId8"/>
    <sheet name="2H Hammer" sheetId="8" state="visible" r:id="rId9"/>
    <sheet name="2H AXE" sheetId="9" state="visible" r:id="rId10"/>
    <sheet name="Spear" sheetId="10" state="visible" r:id="rId11"/>
    <sheet name="War Shield" sheetId="11" state="visible" r:id="rId12"/>
    <sheet name="Claws" sheetId="12" state="visible" r:id="rId13"/>
    <sheet name="Shortbow" sheetId="13" state="visible" r:id="rId14"/>
    <sheet name="Longbow" sheetId="14" state="visible" r:id="rId15"/>
    <sheet name="Hand crossbow" sheetId="15" state="visible" r:id="rId16"/>
    <sheet name="Crossbow" sheetId="16" state="visible" r:id="rId17"/>
    <sheet name="Pistol" sheetId="17" state="visible" r:id="rId18"/>
    <sheet name="Rifle" sheetId="18" state="visible" r:id="rId19"/>
    <sheet name="Cannon" sheetId="19" state="visible" r:id="rId20"/>
    <sheet name="Boomerang" sheetId="20" state="visible" r:id="rId21"/>
    <sheet name="Wand" sheetId="21" state="visible" r:id="rId22"/>
    <sheet name="Scepter" sheetId="22" state="visible" r:id="rId23"/>
    <sheet name="Tome of Secrets" sheetId="23" state="visible" r:id="rId24"/>
    <sheet name="Magic orb" sheetId="24" state="visible" r:id="rId25"/>
    <sheet name="power staff" sheetId="25" state="visible" r:id="rId26"/>
    <sheet name="druid staff" sheetId="26" state="visible" r:id="rId27"/>
    <sheet name="Gauntlet" sheetId="27" state="visible" r:id="rId28"/>
    <sheet name="Sacred Flower" sheetId="28" state="visible" r:id="rId29"/>
  </sheets>
  <calcPr iterateCount="100" refMode="A1" iterate="false" iterateDelta="0.0001"/>
  <extLst>
    <ext xmlns:loext="http://schemas.libreoffice.org/" uri="{7626C862-2A13-11E5-B345-FEFF819CDC9F}">
      <loext:extCalcPr stringRefSyntax="CalcA1ExcelA1"/>
    </ext>
  </extLst>
</workbook>
</file>

<file path=xl/comments4.xml><?xml version="1.0" encoding="utf-8"?>
<comments xmlns="http://schemas.openxmlformats.org/spreadsheetml/2006/main" xmlns:xdr="http://schemas.openxmlformats.org/drawingml/2006/spreadsheetDrawing">
  <authors>
    <author> </author>
  </authors>
  <commentList>
    <comment ref="A18" authorId="0">
      <text>
        <r>
          <rPr>
            <sz val="10"/>
            <color rgb="FF000000"/>
            <rFont val="Arial"/>
            <family val="0"/>
            <charset val="1"/>
          </rPr>
          <t xml:space="preserve">[Threaded comment]
 Your version of Excel allows you to read this threaded comment; however, any edits to it will get removed if the file is opened in a newer version of Excel. Learn more: https://go.microsoft.com/fwlink/?linkid=870924
Comment:
	This feels like it makes the hammer a ranged weapon
Reply:
	Why? do you mean the +1 use on the skill 2?
Reply:
	yes, moving from skill 1 into 2, also skill 2 is already quite strong, I think maybe skill 3 could have something to help with killing those enemies, like  2 turn armor or resistance debuff alongside the stun
Reply:
	Okay, that's fair, I'm reverting the skill use changes. 
Skill 3 is mostly about stun, so it doesn't need help killing the side tiles though.
</t>
        </r>
      </text>
    </comment>
  </commentList>
</comments>
</file>

<file path=xl/comments7.xml><?xml version="1.0" encoding="utf-8"?>
<comments xmlns="http://schemas.openxmlformats.org/spreadsheetml/2006/main" xmlns:xdr="http://schemas.openxmlformats.org/drawingml/2006/spreadsheetDrawing">
  <authors>
    <author> </author>
  </authors>
  <commentList>
    <comment ref="D18" authorId="0">
      <text>
        <r>
          <rPr>
            <sz val="10"/>
            <color rgb="FF000000"/>
            <rFont val="Arial"/>
            <family val="0"/>
            <charset val="1"/>
          </rPr>
          <t xml:space="preserve">[Threaded comment]
 Your version of Excel allows you to read this threaded comment; however, any edits to it will get removed if the file is opened in a newer version of Excel. Learn more: https://go.microsoft.com/fwlink/?linkid=870924
Comment:
	not sure if this is enough to make it feel good?
at least make skill 1 able to target ground
Reply:
	I think it should be enough
Maybe skill 2 should also get more base momentum, but 2h sword is already pretty close to being good.
I'm not sure if it's possible to make 2h sword ground targetable but it's worth looking into
Reply:
	the movement cost on skill 4 is my biggest criticism of 2h sword, so this is a change I agree with
Reply:
	it does feel bad, since it's hard to position, adn you already pay for momentum with movement, and if you're short you have to use skill 1 which makes skill 4 do less damage (if you kill)
Reply:
	Skill 1 doesn't change the damage of skill 4? And why would killing with it matter?
Reply:
	what I meant is if you end up in a place where you don't have enough movement for skill 4, and need to use skill 1 to get the movement, and kill enemies you wanted to target with skill 4, it feels bad
Reply:
	And that will happen less if skill 4 doesn't cost movement?
</t>
        </r>
      </text>
    </comment>
  </commentList>
</comments>
</file>

<file path=xl/comments9.xml><?xml version="1.0" encoding="utf-8"?>
<comments xmlns="http://schemas.openxmlformats.org/spreadsheetml/2006/main" xmlns:xdr="http://schemas.openxmlformats.org/drawingml/2006/spreadsheetDrawing">
  <authors>
    <author> </author>
  </authors>
  <commentList>
    <comment ref="B15" authorId="0">
      <text>
        <r>
          <rPr>
            <sz val="10"/>
            <color rgb="FF000000"/>
            <rFont val="Arial"/>
            <family val="0"/>
            <charset val="1"/>
          </rPr>
          <t xml:space="preserve">[Threaded comment]
 Your version of Excel allows you to read this threaded comment; however, any edits to it will get removed if the file is opened in a newer version of Excel. Learn more: https://go.microsoft.com/fwlink/?linkid=870924
Comment:
	I'd also make it apply the debuff to the main target tile
Reply:
	Sure
</t>
        </r>
      </text>
    </comment>
  </commentList>
</comments>
</file>

<file path=xl/comments10.xml><?xml version="1.0" encoding="utf-8"?>
<comments xmlns="http://schemas.openxmlformats.org/spreadsheetml/2006/main" xmlns:xdr="http://schemas.openxmlformats.org/drawingml/2006/spreadsheetDrawing">
  <authors>
    <author> </author>
  </authors>
  <commentList>
    <comment ref="A18" authorId="0">
      <text>
        <r>
          <rPr>
            <sz val="10"/>
            <color rgb="FF000000"/>
            <rFont val="Arial"/>
            <family val="0"/>
            <charset val="1"/>
          </rPr>
          <t xml:space="preserve">[Threaded comment]
 Your version of Excel allows you to read this threaded comment; however, any edits to it will get removed if the file is opened in a newer version of Excel. Learn more: https://go.microsoft.com/fwlink/?linkid=870924
Comment:
	I don't think this would be very helpful.
Maybe a x3 multihit (and slightly lower damage) with range 1-2 non-modifiable?
probably would need to change skill 3 away from multihit tho, like a cardinal spear throw with higher range, and maybe secondary damage on the sides (or debuff)
Reply:
	Why would this not be helpful? the issue of this skill is that 3 targets is too little for the damage it deals, adding a 4th would change a lot. If it's too weak, it can be a full tile instead of a side tile, but i think that could be too strong considering how good the spear already is
I'm definitely not adding any MH to a skill 1 :P
Reply:
	that is fine, but it could be more balanced on a melee weapon.
The idea is that it is starting to look like great axe with different shape, and I think great age works better since you can stay in the middle of the wave, where as with the spear it could be better from the side?
Reply:
	Yeah, the damage, positioning, amount of tiles, and accuracy is still different so i think it's different enough.
</t>
        </r>
      </text>
    </comment>
  </commentList>
</comments>
</file>

<file path=xl/comments11.xml><?xml version="1.0" encoding="utf-8"?>
<comments xmlns="http://schemas.openxmlformats.org/spreadsheetml/2006/main" xmlns:xdr="http://schemas.openxmlformats.org/drawingml/2006/spreadsheetDrawing">
  <authors>
    <author> </author>
  </authors>
  <commentList>
    <comment ref="B18" authorId="0">
      <text>
        <r>
          <rPr>
            <sz val="10"/>
            <color rgb="FF000000"/>
            <rFont val="Arial"/>
            <family val="0"/>
            <charset val="1"/>
          </rPr>
          <t xml:space="preserve">[Threaded comment]
 Your version of Excel allows you to read this threaded comment; however, any edits to it will get removed if the file is opened in a newer version of Excel. Learn more: https://go.microsoft.com/fwlink/?linkid=870924
Comment:
	I'm not sure about the -dodge if it's really necessary.
would be possible to increase the skills damage by block amount?
Reply:
	I think it's worthwhile if we're removing base stat penalties from weapons, but tbh yes, it's not needed and we can just keep the -flat dodge. I don't think it's possible to increase the skills damage by the block amount, the perk already kind of does something like that anyway.
</t>
        </r>
      </text>
    </comment>
    <comment ref="C22" authorId="0">
      <text>
        <r>
          <rPr>
            <sz val="10"/>
            <color rgb="FF000000"/>
            <rFont val="Arial"/>
            <family val="0"/>
            <charset val="1"/>
          </rPr>
          <t xml:space="preserve">[Threaded comment]
 Your version of Excel allows you to read this threaded comment; however, any edits to it will get removed if the file is opened in a newer version of Excel. Learn more: https://go.microsoft.com/fwlink/?linkid=870924
Comment:
	could make the steel grant block and this one give movement, since it's light and you like to position yourself with it
Reply:
	That's an option, although few weapons make sense with +armor, so i wanted war shield to have it.
Reply:
	It would make most sense to be on shield, but I would still prefer to keep armor on my armor.
also is the amount at tier 5? because it might not be that great, is tier 5 supposed to block an attack or half from a regular clawer?
Reply:
	No, we start calculating from tier 0
</t>
        </r>
      </text>
    </comment>
  </commentList>
</comments>
</file>

<file path=xl/comments13.xml><?xml version="1.0" encoding="utf-8"?>
<comments xmlns="http://schemas.openxmlformats.org/spreadsheetml/2006/main" xmlns:xdr="http://schemas.openxmlformats.org/drawingml/2006/spreadsheetDrawing">
  <authors>
    <author> </author>
  </authors>
  <commentList>
    <comment ref="A16" authorId="0">
      <text>
        <r>
          <rPr>
            <sz val="10"/>
            <color rgb="FF000000"/>
            <rFont val="Arial"/>
            <family val="0"/>
            <charset val="1"/>
          </rPr>
          <t xml:space="preserve">[Threaded comment]
 Your version of Excel allows you to read this threaded comment; however, any edits to it will get removed if the file is opened in a newer version of Excel. Learn more: https://go.microsoft.com/fwlink/?linkid=870924
Comment:
	I don't like this change, I think it makes more sense to exchange the scattershot to longbow (since it's "inaccurate" at long range) and bring the arctic stun to shortbow and have skill 1 to be opportunistic.
Have shortbow be a good horde killer and longbow be good at picking enemies off
Reply:
	Long bow already has snipe shot for picking enemies off, and shortbow's skill 4 is literally about creating isolated targets. Giving shortbow arctic blast would also mean it has skill 3 and 4 that basically do the same thing, which is lame.
Reply:
	but short bow can't pick enemies off since it has short range, that is why longbow is good at picking off stragglers, also you want to debuff a group of enemies to stop the from advancing so it would make sense to have shortbow have opportunism to finish those enemies off
Reply:
	Shortbow has 8 base range, that is not low. It also has only 1 use of a debuff skill compared to longbow's 4.
</t>
        </r>
      </text>
    </comment>
  </commentList>
</comments>
</file>

<file path=xl/comments15.xml><?xml version="1.0" encoding="utf-8"?>
<comments xmlns="http://schemas.openxmlformats.org/spreadsheetml/2006/main" xmlns:xdr="http://schemas.openxmlformats.org/drawingml/2006/spreadsheetDrawing">
  <authors>
    <author> </author>
  </authors>
  <commentList>
    <comment ref="A17" authorId="0">
      <text>
        <r>
          <rPr>
            <sz val="10"/>
            <color rgb="FF000000"/>
            <rFont val="Arial"/>
            <family val="0"/>
            <charset val="1"/>
          </rPr>
          <t xml:space="preserve">[Threaded comment]
 Your version of Excel allows you to read this threaded comment; however, any edits to it will get removed if the file is opened in a newer version of Excel. Learn more: https://go.microsoft.com/fwlink/?linkid=870924
Comment:
	I don't think dealing damage and applying poison at the same time makes too much sense
Reply:
	Why not? Orb does it, Sacred flower does it, bee sting does it.
Reply:
	Also dagger skill 3 does it
Reply:
	yeah, it makes the skills a little worse than if they just do poison, because the poison doesn't get applied if the enemy dies or dodges, but that's just a balancing factor
And Hand crossbow doesn't need skills that ignore even more defensive stats
Reply:
	I think the skill will remain fine, keeping it unchanged for now.
</t>
        </r>
      </text>
    </comment>
    <comment ref="B17" authorId="0">
      <text>
        <r>
          <rPr>
            <sz val="10"/>
            <color rgb="FF000000"/>
            <rFont val="Arial"/>
            <family val="0"/>
            <charset val="1"/>
          </rPr>
          <t xml:space="preserve">[Threaded comment]
 Your version of Excel allows you to read this threaded comment; however, any edits to it will get removed if the file is opened in a newer version of Excel. Learn more: https://go.microsoft.com/fwlink/?linkid=870924
Comment:
	how about -1 movement instead of mana for 2 multihits and 3 uses?
or start the ability with 2 multihit and higher multiplayer on lowe item tier and 3 multihit with lower multiplayer on higher tier?
I don't think there is a very clean way for 1 ap multihit
Reply:
	No, Making it 3 MH base but 2 uses is very, very important, it's what's gonna balance it without making it terrible early. MH was busted with xbow due to each MH being +50% damage, and it having a lot of uses. Higher base MH and lower uses is the point.
I disagree on it being unclean, I think it's pretty clean, the inaccurate and opp multiplier effects are optional and mostly for flavor, can remove them if you don't like them. It costing mana is also optional tbh
I could make it manaless but lose the +opp modifier.
Reply:
	I think manaless but no opp would be better, it feels weird for a non magic weapon to use mana on skill 2
but yeah, 2 uses is the important balancing aspect
Reply:
	yeah, I can see that, it might also be that it looks like it doesn't know what to do since it can use any stat, maybe it should just focus on doing 1 thing instead of being able to do everything?
Reply:
	That's why i tried to give it opp, to focus more on the debuff/poison
But I've removed opp and mana cost, and gave opp to blaze instead.
</t>
        </r>
      </text>
    </comment>
  </commentList>
</comments>
</file>

<file path=xl/comments16.xml><?xml version="1.0" encoding="utf-8"?>
<comments xmlns="http://schemas.openxmlformats.org/spreadsheetml/2006/main" xmlns:xdr="http://schemas.openxmlformats.org/drawingml/2006/spreadsheetDrawing">
  <authors>
    <author> </author>
  </authors>
  <commentList>
    <comment ref="A18" authorId="0">
      <text>
        <r>
          <rPr>
            <sz val="10"/>
            <color rgb="FF000000"/>
            <rFont val="Arial"/>
            <family val="0"/>
            <charset val="1"/>
          </rPr>
          <t xml:space="preserve">[Threaded comment]
 Your version of Excel allows you to read this threaded comment; however, any edits to it will get removed if the file is opened in a newer version of Excel. Learn more: https://go.microsoft.com/fwlink/?linkid=870924
Comment:
	I kinda liked the old one, not a fan of these changes
Reply:
	I can revert the skill 2 and 4 changes but I do think the -res debuff should go to the hammer, not crossbow
Reply:
	I almost think that crossbow just doesn't need any debuffs. Debuffs and using opportunism doesn't need to be something that every single weapon can do?
Reply:
	It does not need it, but since i want to put the -res on hammer i do think it could use something
It's generally fun if skills 1 and 2 have some spice.  I can always just increase the base damage of it further instead.
Reply:
	yeah, I thnk skill 2 shouldn't have isolation, it's the skill you use to make targets isolated since it has high damage, and it needs positioning, so it's harder to target isolated stragglers.
I'm not much of a fan of skill 4 in general, could it be like a side by side triple skill 3 for double the cost? or maker it look like an arrow head, reverse of pistol skill
Reply:
	Reverted the Skill 2 changes. As for skill 4, you have edit rights, so draw the aoe you're talking about. Though I'm not a fan of yet another grapeshot blast shape, we already have 3 of these
</t>
        </r>
      </text>
    </comment>
  </commentList>
</comments>
</file>

<file path=xl/comments17.xml><?xml version="1.0" encoding="utf-8"?>
<comments xmlns="http://schemas.openxmlformats.org/spreadsheetml/2006/main" xmlns:xdr="http://schemas.openxmlformats.org/drawingml/2006/spreadsheetDrawing">
  <authors>
    <author> </author>
  </authors>
  <commentList>
    <comment ref="C16" authorId="0">
      <text>
        <r>
          <rPr>
            <sz val="10"/>
            <color rgb="FF000000"/>
            <rFont val="Arial"/>
            <family val="0"/>
            <charset val="1"/>
          </rPr>
          <t xml:space="preserve">[Threaded comment]
 Your version of Excel allows you to read this threaded comment; however, any edits to it will get removed if the file is opened in a newer version of Excel. Learn more: https://go.microsoft.com/fwlink/?linkid=870924
Comment:
	I feel like it might need more damage, unless base damage already covers that, but pistol always felt weak for me
Reply:
	I think the base damage covers that well enough. It's one of the better skill 3s anyway.
Reply:
	grape shot is a very good skill, a base damage increase would improve it early and then late game it becomes great with proximity shot
Reply:
	yeah, I don't play with many "ranged" perks, since they tend to be ranged damage specific and kinda weird overall, the other perks are definitely more universal
Reply:
	Proximity shot is the only one that's ranged damage specific, and it's a very very good perk
Reply:
	maybe it's just me who likes to kill enemies at range with ranged damage instead of in melee :p
</t>
        </r>
      </text>
    </comment>
  </commentList>
</comments>
</file>

<file path=xl/comments18.xml><?xml version="1.0" encoding="utf-8"?>
<comments xmlns="http://schemas.openxmlformats.org/spreadsheetml/2006/main" xmlns:xdr="http://schemas.openxmlformats.org/drawingml/2006/spreadsheetDrawing">
  <authors>
    <author> </author>
  </authors>
  <commentList>
    <comment ref="A16" authorId="0">
      <text>
        <r>
          <rPr>
            <sz val="10"/>
            <color rgb="FF000000"/>
            <rFont val="Arial"/>
            <family val="0"/>
            <charset val="1"/>
          </rPr>
          <t xml:space="preserve">[Threaded comment]
 Your version of Excel allows you to read this threaded comment; however, any edits to it will get removed if the file is opened in a newer version of Excel. Learn more: https://go.microsoft.com/fwlink/?linkid=870924
Comment:
	is this also instead of the new propagation?
I think undogeable makes sense since it's a high cost skill, maybe secondary targets for damage or debuff (armor/dodge/resistance)?
Reply:
	No, it's with the new propagation, and the assumption that it loses the -prop damage debuff
I removed undodgeable to put it on assassinate, as it really needs it
I think armor piercing is a stronger modifier than undodgeable, especially for this skill
</t>
        </r>
      </text>
    </comment>
    <comment ref="B16" authorId="0">
      <text>
        <r>
          <rPr>
            <sz val="10"/>
            <color rgb="FF000000"/>
            <rFont val="Arial"/>
            <family val="0"/>
            <charset val="1"/>
          </rPr>
          <t xml:space="preserve">[Threaded comment]
 Your version of Excel allows you to read this threaded comment; however, any edits to it will get removed if the file is opened in a newer version of Excel. Learn more: https://go.microsoft.com/fwlink/?linkid=870924
Comment:
	I think the opportunism fits here
Reply:
	Maybe, but i put opportunism on assassinate instead. This is basically a strict buff, since 0.7 * 1.25 = 0.875
Reply:
	it can't have 2 sources of opportunitism like power staff?
Reply:
	Power staff has 1 opp skill, only skill 3
It can have 2 anyway but I think it'll feel better with only 1.
</t>
        </r>
      </text>
    </comment>
    <comment ref="C16" authorId="0">
      <text>
        <r>
          <rPr>
            <sz val="10"/>
            <color rgb="FF000000"/>
            <rFont val="Arial"/>
            <family val="0"/>
            <charset val="1"/>
          </rPr>
          <t xml:space="preserve">[Threaded comment]
 Your version of Excel allows you to read this threaded comment; however, any edits to it will get removed if the file is opened in a newer version of Excel. Learn more: https://go.microsoft.com/fwlink/?linkid=870924
Comment:
	I think it could reduce armor or resistance as well as move instead of extra damage
Reply:
	This is only to compensate for the damage nerf really, I think the skill itself is fine. 10 targets is a lot.
</t>
        </r>
      </text>
    </comment>
    <comment ref="D16" authorId="0">
      <text>
        <r>
          <rPr>
            <sz val="10"/>
            <color rgb="FF000000"/>
            <rFont val="Arial"/>
            <family val="0"/>
            <charset val="1"/>
          </rPr>
          <t xml:space="preserve">[Threaded comment]
 Your version of Excel allows you to read this threaded comment; however, any edits to it will get removed if the file is opened in a newer version of Excel. Learn more: https://go.microsoft.com/fwlink/?linkid=870924
Comment:
	I would keep it at 1 use and high cost, just make sure it kills whatever it targets, with high damage, I would even say it should have high damage multiplayer and like 80-90% isolation + opportunitism effectiveness
Reply:
	Keeping it 2 ap and 1 use Makes it far, far worse than the scroll variant. I intend to rework it into a high-effort, more costly but also a lot more damaging snipe shot, and making it 2 ap would just make it worse than snipe shot.
Reply:
	yeah, asssasinate just sounds quite heavy and so does rifle, it just feels like it's beccomming more of a prickle shot.
It sounds like it should be good against hight hp enemies like elites, which you might not meet 2 off.
but I think assassinate sounds better if you don't have to put that much work into it?
Reply:
	What do you mean prickle shot? It's a pretty major damage buff compared to what we had previously.
I think setting up assassination is pretty thematic personally, and that's where the heaviness can come from.
</t>
        </r>
      </text>
    </comment>
  </commentList>
</comments>
</file>

<file path=xl/comments20.xml><?xml version="1.0" encoding="utf-8"?>
<comments xmlns="http://schemas.openxmlformats.org/spreadsheetml/2006/main" xmlns:xdr="http://schemas.openxmlformats.org/drawingml/2006/spreadsheetDrawing">
  <authors>
    <author> </author>
  </authors>
  <commentList>
    <comment ref="D17" authorId="0">
      <text>
        <r>
          <rPr>
            <sz val="10"/>
            <color rgb="FF000000"/>
            <rFont val="Arial"/>
            <family val="0"/>
            <charset val="1"/>
          </rPr>
          <t xml:space="preserve">[Threaded comment]
 Your version of Excel allows you to read this threaded comment; however, any edits to it will get removed if the file is opened in a newer version of Excel. Learn more: https://go.microsoft.com/fwlink/?linkid=870924
Comment:
	don't understand/unfinished
what if you removed damage from all skills, and have the perk deal damage to all stunned targets within range at the end of turn (when the boomerang  comes back)?
Reply:
	My bad, was meant to be "After the hero stuns 3 enemies, boomerang's side tiles become main tiles"
I want to get rid of the ricochet entirely because it makes it feel like it plays the game for you. Removing damage from all skills would double down on that feeling.
Reply:
	so you would have to use skill 1 before using skills 2 and 3 (if it's only 1 use that would be horrible?)
I don't know, doesn't sound exciting.
Also you remove multihit and propagation and not add anything, sounds weak.
Reply:
	no, you can still stun with skills 2 and 3, or other sources. And while i did remove prop, i added damage, quite a lot of it in fact. I don't think skill 3 with 1.75x damage mod and like 20 targets is weak. or 1 ap 1 mana 7 targets 1.6 damage mod. The most similar weapon to it would probably be gauntlet i think.
</t>
        </r>
      </text>
    </comment>
  </commentList>
</comments>
</file>

<file path=xl/comments22.xml><?xml version="1.0" encoding="utf-8"?>
<comments xmlns="http://schemas.openxmlformats.org/spreadsheetml/2006/main" xmlns:xdr="http://schemas.openxmlformats.org/drawingml/2006/spreadsheetDrawing">
  <authors>
    <author> </author>
  </authors>
  <commentList>
    <comment ref="B18" authorId="0">
      <text>
        <r>
          <rPr>
            <sz val="10"/>
            <color rgb="FF000000"/>
            <rFont val="Arial"/>
            <family val="0"/>
            <charset val="1"/>
          </rPr>
          <t xml:space="preserve">[Threaded comment]
 Your version of Excel allows you to read this threaded comment; however, any edits to it will get removed if the file is opened in a newer version of Excel. Learn more: https://go.microsoft.com/fwlink/?linkid=870924
Comment:
	I would just make the buff skill have higher range, increase momentum and scale movement 2/3/4/5
Reply:
	So you want to nerf it early? It already grants 3 movement at tier 0. 
The big problem with wind walk is that its boring, already covered by a trinket skill, and basically worse than transfer as a support skill. Shocking touch is a scepter's old skill that's already in the game files, and I think it'll be a better fit for the weapon. But if it turns out to be bad, why not, we'll bring back wind walk.
</t>
        </r>
      </text>
    </comment>
  </commentList>
</comments>
</file>

<file path=xl/comments26.xml><?xml version="1.0" encoding="utf-8"?>
<comments xmlns="http://schemas.openxmlformats.org/spreadsheetml/2006/main" xmlns:xdr="http://schemas.openxmlformats.org/drawingml/2006/spreadsheetDrawing">
  <authors>
    <author> </author>
  </authors>
  <commentList>
    <comment ref="D16" authorId="0">
      <text>
        <r>
          <rPr>
            <sz val="10"/>
            <color rgb="FF000000"/>
            <rFont val="Arial"/>
            <family val="0"/>
            <charset val="1"/>
          </rPr>
          <t xml:space="preserve">[Threaded comment]
 Your version of Excel allows you to read this threaded comment; however, any edits to it will get removed if the file is opened in a newer version of Excel. Learn more: https://go.microsoft.com/fwlink/?linkid=870924
Comment:
	not sure the change to skill 3 is enough maybe it should deal damage to the center tile,
still feels like skill 4 is too strong, and anti synergistic by dealing damage and applying poison
Reply:
	The skill 3 debuff is underrated, as demonstrated already by longbow's skill 2, it was just too expensive
I think bee sting is fine, Why do you think applying damage and poison is anti-synergistic? it's perfectly fine.
Reply:
	if you get +poison or just +damage you buff only half of the skill, similar with other stats/perks that affects damage or poison/debuffs.
you want to apply poison to go through the enemies armor, but you deal enough damage to break that armor or the resistant guy just dies and doesn't get the poison.
It's kind of if a skill did some ranged damage and then it also did some physical damage, the benefit of doing physical damage (armor breaking) would go to waste
Reply:
	That's less anti-synergy and more just normal lack of synergy. Some damage can get wasted but it's not harmful. Not every enemy has armor. It's also just common enough to not be a big deal.
</t>
        </r>
      </text>
    </comment>
  </commentList>
</comments>
</file>

<file path=xl/sharedStrings.xml><?xml version="1.0" encoding="utf-8"?>
<sst xmlns="http://schemas.openxmlformats.org/spreadsheetml/2006/main" count="812" uniqueCount="204">
  <si>
    <t xml:space="preserve">These are the weapon variant values for Tier 1 weapon variants, so Steel, Silver, Journeyman's and Adepts</t>
  </si>
  <si>
    <t xml:space="preserve">Level</t>
  </si>
  <si>
    <t xml:space="preserve">Momentum</t>
  </si>
  <si>
    <t xml:space="preserve">Physical Damage</t>
  </si>
  <si>
    <t xml:space="preserve">Ranged Damage</t>
  </si>
  <si>
    <t xml:space="preserve">Magic Damage</t>
  </si>
  <si>
    <t xml:space="preserve">Stun Chance</t>
  </si>
  <si>
    <t xml:space="preserve">Mana;Mana Regen</t>
  </si>
  <si>
    <t xml:space="preserve">Health;Health Regen</t>
  </si>
  <si>
    <t xml:space="preserve">Reliability</t>
  </si>
  <si>
    <t xml:space="preserve">Opportunism</t>
  </si>
  <si>
    <t xml:space="preserve">Isolation</t>
  </si>
  <si>
    <t xml:space="preserve">Resistance Reduction</t>
  </si>
  <si>
    <t xml:space="preserve">Accuracy</t>
  </si>
  <si>
    <t xml:space="preserve">Block</t>
  </si>
  <si>
    <t xml:space="preserve">Critical</t>
  </si>
  <si>
    <t xml:space="preserve">Critical Power</t>
  </si>
  <si>
    <t xml:space="preserve">Poison Damage</t>
  </si>
  <si>
    <t xml:space="preserve">XP gain</t>
  </si>
  <si>
    <t xml:space="preserve">6;2</t>
  </si>
  <si>
    <t xml:space="preserve">40;8</t>
  </si>
  <si>
    <t xml:space="preserve">7;2</t>
  </si>
  <si>
    <t xml:space="preserve">48;9</t>
  </si>
  <si>
    <t xml:space="preserve">8;3</t>
  </si>
  <si>
    <t xml:space="preserve">56;10</t>
  </si>
  <si>
    <t xml:space="preserve">9;3</t>
  </si>
  <si>
    <t xml:space="preserve">64;12</t>
  </si>
  <si>
    <t xml:space="preserve">10;4</t>
  </si>
  <si>
    <t xml:space="preserve">72;14</t>
  </si>
  <si>
    <t xml:space="preserve">12;4</t>
  </si>
  <si>
    <t xml:space="preserve">80;16</t>
  </si>
  <si>
    <t xml:space="preserve">These are the weapon variant values for Tier 2 weapon variants, so Mythril, Adamantium, Masters and Archmasters</t>
  </si>
  <si>
    <t xml:space="preserve">Propagation Bounces</t>
  </si>
  <si>
    <t xml:space="preserve">Propagation Damage</t>
  </si>
  <si>
    <t xml:space="preserve">Move Points;Dodge</t>
  </si>
  <si>
    <t xml:space="preserve">Skill Range</t>
  </si>
  <si>
    <t xml:space="preserve">Armor;Resistance</t>
  </si>
  <si>
    <t xml:space="preserve">1;6</t>
  </si>
  <si>
    <t xml:space="preserve">35;5</t>
  </si>
  <si>
    <t xml:space="preserve">50;16</t>
  </si>
  <si>
    <t xml:space="preserve">1;7</t>
  </si>
  <si>
    <t xml:space="preserve">42;6</t>
  </si>
  <si>
    <t xml:space="preserve">60;19</t>
  </si>
  <si>
    <t xml:space="preserve">1;8</t>
  </si>
  <si>
    <t xml:space="preserve">50;7</t>
  </si>
  <si>
    <t xml:space="preserve">14;5</t>
  </si>
  <si>
    <t xml:space="preserve">70;22</t>
  </si>
  <si>
    <t xml:space="preserve">2;9</t>
  </si>
  <si>
    <t xml:space="preserve">57;8</t>
  </si>
  <si>
    <t xml:space="preserve">16;6</t>
  </si>
  <si>
    <t xml:space="preserve">80;25</t>
  </si>
  <si>
    <t xml:space="preserve">2;10</t>
  </si>
  <si>
    <t xml:space="preserve">63;9</t>
  </si>
  <si>
    <t xml:space="preserve">18;7</t>
  </si>
  <si>
    <t xml:space="preserve">90;28</t>
  </si>
  <si>
    <t xml:space="preserve">2;12</t>
  </si>
  <si>
    <t xml:space="preserve">70;10</t>
  </si>
  <si>
    <t xml:space="preserve">20;8</t>
  </si>
  <si>
    <t xml:space="preserve">100;32</t>
  </si>
  <si>
    <t xml:space="preserve">Note: Normal variants use levels 0 to 5, wooden/novice/rusty variants use levels -1 to 4</t>
  </si>
  <si>
    <t xml:space="preserve">Damage Changes</t>
  </si>
  <si>
    <t xml:space="preserve">old min damage</t>
  </si>
  <si>
    <t xml:space="preserve">old max damage</t>
  </si>
  <si>
    <t xml:space="preserve">old avg damage</t>
  </si>
  <si>
    <t xml:space="preserve">new min damage</t>
  </si>
  <si>
    <t xml:space="preserve">new max damage</t>
  </si>
  <si>
    <t xml:space="preserve">new avg damage (baseline)</t>
  </si>
  <si>
    <t xml:space="preserve">spread</t>
  </si>
  <si>
    <t xml:space="preserve">Skill Changes</t>
  </si>
  <si>
    <t xml:space="preserve">Skill 1</t>
  </si>
  <si>
    <t xml:space="preserve">Skill 2</t>
  </si>
  <si>
    <t xml:space="preserve">Skill 3</t>
  </si>
  <si>
    <t xml:space="preserve"> +5% base momentum</t>
  </si>
  <si>
    <t xml:space="preserve"> +1 range, dmg mod to 1.7x from 1.6x</t>
  </si>
  <si>
    <t xml:space="preserve">-1 mana cost, +1 range, dmg mod to 1.7x from 1.6x</t>
  </si>
  <si>
    <t xml:space="preserve">Variants:</t>
  </si>
  <si>
    <t xml:space="preserve">Steel</t>
  </si>
  <si>
    <t xml:space="preserve">silver</t>
  </si>
  <si>
    <t xml:space="preserve">mythril</t>
  </si>
  <si>
    <t xml:space="preserve">adamantium</t>
  </si>
  <si>
    <t xml:space="preserve">Move points;Dodge</t>
  </si>
  <si>
    <t xml:space="preserve">now aplies -12-18% resistance debuff for 1 turn</t>
  </si>
  <si>
    <t xml:space="preserve"> +1 use</t>
  </si>
  <si>
    <t xml:space="preserve">Increase stun chance to 125 on the main tile, secondary damage mod to 0.66x from 0.5x</t>
  </si>
  <si>
    <t xml:space="preserve">Variants</t>
  </si>
  <si>
    <t xml:space="preserve">No changes</t>
  </si>
  <si>
    <t xml:space="preserve">Now has a 3x3 aoe, centered around the bottom-center tile</t>
  </si>
  <si>
    <t xml:space="preserve">dmg mod to 1.6x from 1.4x</t>
  </si>
  <si>
    <t xml:space="preserve">New skill 2 aoe</t>
  </si>
  <si>
    <t xml:space="preserve">Base stat penalties/bonuses</t>
  </si>
  <si>
    <t xml:space="preserve">Refreshes +2 move points</t>
  </si>
  <si>
    <t xml:space="preserve">dmg mod to 1.6x</t>
  </si>
  <si>
    <t xml:space="preserve">no changes</t>
  </si>
  <si>
    <t xml:space="preserve">Remove them</t>
  </si>
  <si>
    <t xml:space="preserve">Skill 4</t>
  </si>
  <si>
    <t xml:space="preserve"> +1 move restore</t>
  </si>
  <si>
    <t xml:space="preserve"> +5 base momentum</t>
  </si>
  <si>
    <t xml:space="preserve"> +5 base momentum, Remove movement cost, increase mana cost to 3</t>
  </si>
  <si>
    <t xml:space="preserve">Resistance reduction</t>
  </si>
  <si>
    <t xml:space="preserve">Physical damage</t>
  </si>
  <si>
    <t xml:space="preserve"> +1 use, +1 base prop bounce</t>
  </si>
  <si>
    <t xml:space="preserve">opportunism</t>
  </si>
  <si>
    <t xml:space="preserve">stun chance</t>
  </si>
  <si>
    <t xml:space="preserve">propagation damage</t>
  </si>
  <si>
    <t xml:space="preserve">Now gives   -12/11/12/13/14/18 dodge debuff to ALL tiles for 2 turns instead of -2 move points for 1 turn to secondary tiles </t>
  </si>
  <si>
    <t xml:space="preserve">accuracy</t>
  </si>
  <si>
    <t xml:space="preserve">reliability</t>
  </si>
  <si>
    <t xml:space="preserve">critical</t>
  </si>
  <si>
    <t xml:space="preserve">new skill 1 aoe</t>
  </si>
  <si>
    <t xml:space="preserve">Added a 4th primary tile</t>
  </si>
  <si>
    <t xml:space="preserve">dmg mod to 1.15x</t>
  </si>
  <si>
    <t xml:space="preserve">physical damage</t>
  </si>
  <si>
    <t xml:space="preserve">momentum</t>
  </si>
  <si>
    <t xml:space="preserve">New Skill 3 aoe:</t>
  </si>
  <si>
    <t xml:space="preserve">Perk:</t>
  </si>
  <si>
    <t xml:space="preserve">Damage modifier to 1.2x, block buff to 10-15 for 1 turn</t>
  </si>
  <si>
    <t xml:space="preserve">-1 use per turn, New AOE, main tile damage mod to 1.1x, side tile damage mod to 0.55, debuff to -50% damage for 1 turn</t>
  </si>
  <si>
    <t xml:space="preserve">damage modifier to 1.45x, Mana cost to 5</t>
  </si>
  <si>
    <t xml:space="preserve">Damage bonus when getting hit increased to 12% from 8%, decreased maximum bonus to 60%</t>
  </si>
  <si>
    <t xml:space="preserve">-20% dodge from -10%</t>
  </si>
  <si>
    <t xml:space="preserve">block</t>
  </si>
  <si>
    <t xml:space="preserve">resistance reduction</t>
  </si>
  <si>
    <t xml:space="preserve">Perk</t>
  </si>
  <si>
    <t xml:space="preserve">Is now Skill 3, Physical damage buff to 10-15% from 8-12%, costs 2 mana</t>
  </si>
  <si>
    <t xml:space="preserve">DMG mod to 1.3x from 0.8x, no longer has isolation multiplier 1.5x, no longer costs move or action points</t>
  </si>
  <si>
    <t xml:space="preserve">Dmg mod to 1.9x from 1.6x</t>
  </si>
  <si>
    <t xml:space="preserve">Reworked to: After using sharpened claws, the next skill has +3 multihit. If that skill is piercing claws, it has -35% damage</t>
  </si>
  <si>
    <t xml:space="preserve">CriticalPower</t>
  </si>
  <si>
    <t xml:space="preserve">isolation</t>
  </si>
  <si>
    <t xml:space="preserve">added isolation modifier 1.35x</t>
  </si>
  <si>
    <t xml:space="preserve"> -1 skill range, now has armor piercing, damage mod to 1.65x</t>
  </si>
  <si>
    <t xml:space="preserve">damage mod to 1.15x, +1 use</t>
  </si>
  <si>
    <t xml:space="preserve">damage mod increased to 1.85x</t>
  </si>
  <si>
    <t xml:space="preserve">xp gain</t>
  </si>
  <si>
    <t xml:space="preserve">skill range</t>
  </si>
  <si>
    <t xml:space="preserve">Remove isolation multiplier, add 1.25x opportunist multiplier, -2 range, -1 use</t>
  </si>
  <si>
    <t xml:space="preserve">Effect changed to: -20/22/24/26/28/30 dodge, - 40-60 block, Purge all buffs, -2 range</t>
  </si>
  <si>
    <t xml:space="preserve">-2 range</t>
  </si>
  <si>
    <t xml:space="preserve">-2 range, +1 mana cost</t>
  </si>
  <si>
    <t xml:space="preserve">Remove the -10% reliability</t>
  </si>
  <si>
    <t xml:space="preserve">Reworked to: a skill: Slow death, 1ap, deals base damage and inflicts 50 additional poison for 2 turns. 4 uses per turn</t>
  </si>
  <si>
    <t xml:space="preserve">Reworked to: Quickshot: 2 ap, 4 multihits
2 uses, inaccurate 2x, 1.15x damage modifier</t>
  </si>
  <si>
    <t xml:space="preserve">poison damage</t>
  </si>
  <si>
    <t xml:space="preserve">Replaced resistance debuff with -1 movement debuff, -1 use</t>
  </si>
  <si>
    <t xml:space="preserve"> +1 use  </t>
  </si>
  <si>
    <t xml:space="preserve">Range 3-10 to 1-8</t>
  </si>
  <si>
    <t xml:space="preserve">steel</t>
  </si>
  <si>
    <t xml:space="preserve">ranged damage</t>
  </si>
  <si>
    <t xml:space="preserve">Base</t>
  </si>
  <si>
    <t xml:space="preserve">Base momentum to 25 from 20</t>
  </si>
  <si>
    <t xml:space="preserve">base dmg mod to 1.35x, Increased isolation modifier to 1.5x</t>
  </si>
  <si>
    <t xml:space="preserve">Dmg mod to 1.45x from 1.35x</t>
  </si>
  <si>
    <t xml:space="preserve">Removed the +15% crit damage modifier</t>
  </si>
  <si>
    <t xml:space="preserve">Switches with skill 2, Dmg mod to 0.8x, gains propagation x3, Range to 1-5</t>
  </si>
  <si>
    <t xml:space="preserve">switches places with skill 1, Dmg mod to 1.0x, no longer has opportunism multiplier</t>
  </si>
  <si>
    <t xml:space="preserve">DMG mod to 0.3x from 0.2x</t>
  </si>
  <si>
    <t xml:space="preserve">Reworked to: 2 uses, 1 ap 2 mana, 2 move points, damage mod: 1.25x, 1.5x isolation multiplier, 1.5x opportunism multiplier.</t>
  </si>
  <si>
    <t xml:space="preserve">Remove the -1 move speed penalty</t>
  </si>
  <si>
    <t xml:space="preserve">propagation bounces</t>
  </si>
  <si>
    <t xml:space="preserve">Reworked to: 2 uses per turn, 1 ap 2 mana, damage mod 1,15x, No longer deals damage on side tiles, the main tile now gets momentum 20% and no longer stuns</t>
  </si>
  <si>
    <t xml:space="preserve">Damage mod increased to 1.0x</t>
  </si>
  <si>
    <t xml:space="preserve">Increased fireblast damage from 82-130 to 225-225 and it scales with hero level BUT
- The base hp cost gets increased to 9, hp per point decreased to 1
- Using the fire blast sets heat to 0
- Decreased Cooldown per turn to 4
</t>
  </si>
  <si>
    <t xml:space="preserve">Reworked to: 1 ap non-multihit skill with 70% base stun chance. 5 uses</t>
  </si>
  <si>
    <t xml:space="preserve">New AOE, 3 uses, main damage modifier to 1.3x, Removed stun and added a 12-18% accuracy debuff on the main tile and 10-15 accuracy debuff on the secondary tile</t>
  </si>
  <si>
    <t xml:space="preserve">Damage mod to 1.5x, Costs 8 mana, main tiles also have a chance to stun for 60%</t>
  </si>
  <si>
    <t xml:space="preserve">Reworked to: Strong throw: After the hero Damages 4 enemies boomerang skills, for the next boomerang's skill, side tiles become main tiles, precision targeting gets 3 propagation</t>
  </si>
  <si>
    <t xml:space="preserve">Skill 2 AOE</t>
  </si>
  <si>
    <t xml:space="preserve">Now grants a 8-12% damage buff that lasts 1 turn</t>
  </si>
  <si>
    <t xml:space="preserve">No longer grants a damage buff, purges all debuffs from target</t>
  </si>
  <si>
    <t xml:space="preserve">dmg mod to 0.8x from 0.85x, 5 base multihits</t>
  </si>
  <si>
    <t xml:space="preserve">Journeyman</t>
  </si>
  <si>
    <t xml:space="preserve">Adept</t>
  </si>
  <si>
    <t xml:space="preserve">Master's</t>
  </si>
  <si>
    <t xml:space="preserve">Archmaster's</t>
  </si>
  <si>
    <t xml:space="preserve">Base momentum increased to 35</t>
  </si>
  <si>
    <t xml:space="preserve">Reworked to shocking touch: 3 uses, melee range, 1.2x damage mod, 1 ap 1 mana cost, refreshes 4 move points, debuffs accuracy by 16-24% </t>
  </si>
  <si>
    <t xml:space="preserve">Stun chance increased to 70% </t>
  </si>
  <si>
    <t xml:space="preserve">variants</t>
  </si>
  <si>
    <t xml:space="preserve">Skill 2 aoe</t>
  </si>
  <si>
    <t xml:space="preserve">-2 prop bounces</t>
  </si>
  <si>
    <t xml:space="preserve">DMG mod to 1.35x from 1.3x</t>
  </si>
  <si>
    <t xml:space="preserve">DMG mod to 1.6x from 1.4x, -1 prop bounce</t>
  </si>
  <si>
    <t xml:space="preserve">magic damage</t>
  </si>
  <si>
    <t xml:space="preserve">Base Health penalty</t>
  </si>
  <si>
    <t xml:space="preserve">Now also grants +10-15% poison damage for 1 turn</t>
  </si>
  <si>
    <t xml:space="preserve">Remove it</t>
  </si>
  <si>
    <t xml:space="preserve">Mana;Mana Regen
</t>
  </si>
  <si>
    <t xml:space="preserve"> +1 range</t>
  </si>
  <si>
    <t xml:space="preserve">DMG mod to 1.1x from 1.2x</t>
  </si>
  <si>
    <t xml:space="preserve">Move Points;Dodge
</t>
  </si>
  <si>
    <t xml:space="preserve">Skill 2 (entangle)</t>
  </si>
  <si>
    <t xml:space="preserve">Skill 3 (acid spray)</t>
  </si>
  <si>
    <t xml:space="preserve">-1 mana cost. Effect changed to: -20/22/24/26/28/30 dodge, - 40-60 block, Purge all buffs</t>
  </si>
  <si>
    <t xml:space="preserve">Poison damage to 35 from 30</t>
  </si>
  <si>
    <t xml:space="preserve">Mana;Mana regen</t>
  </si>
  <si>
    <t xml:space="preserve">opportunism
</t>
  </si>
  <si>
    <t xml:space="preserve">opportunist multiplier decreased to 1.4x from 1.6x</t>
  </si>
  <si>
    <t xml:space="preserve">Increase damage mod from 1.25x to 1.6x, mana cost to 7 from 6</t>
  </si>
  <si>
    <t xml:space="preserve">Skill 2 </t>
  </si>
  <si>
    <t xml:space="preserve">Skill 3 </t>
  </si>
  <si>
    <t xml:space="preserve">No longer poisons the main tile, but has momentum 20</t>
  </si>
  <si>
    <t xml:space="preserve">Costs 2 ap 1 mana, dmg mod to 1.7 from 1.3, deals 0.3 damage on side tiles and applies 100% stun chance</t>
  </si>
  <si>
    <t xml:space="preserve">Now purges all removable statuses instead of just buffs</t>
  </si>
  <si>
    <t xml:space="preserve">Decrease the plague poison scaling from 3 +1 per 3 hero levels to 3 + 1 per 4 hero levels</t>
  </si>
</sst>
</file>

<file path=xl/styles.xml><?xml version="1.0" encoding="utf-8"?>
<styleSheet xmlns="http://schemas.openxmlformats.org/spreadsheetml/2006/main">
  <numFmts count="2">
    <numFmt numFmtId="164" formatCode="General"/>
    <numFmt numFmtId="165" formatCode="@"/>
  </numFmts>
  <fonts count="7">
    <font>
      <sz val="10"/>
      <color rgb="FF000000"/>
      <name val="Arial"/>
      <family val="0"/>
      <charset val="1"/>
    </font>
    <font>
      <sz val="10"/>
      <name val="Arial"/>
      <family val="0"/>
      <charset val="238"/>
    </font>
    <font>
      <sz val="10"/>
      <name val="Arial"/>
      <family val="0"/>
      <charset val="238"/>
    </font>
    <font>
      <sz val="10"/>
      <name val="Arial"/>
      <family val="0"/>
      <charset val="238"/>
    </font>
    <font>
      <sz val="11"/>
      <color rgb="FF000000"/>
      <name val="Arial"/>
      <family val="0"/>
      <charset val="1"/>
    </font>
    <font>
      <sz val="11"/>
      <color rgb="FFFF0000"/>
      <name val="Arial"/>
      <family val="0"/>
      <charset val="1"/>
    </font>
    <font>
      <b val="true"/>
      <sz val="11"/>
      <color rgb="FF000000"/>
      <name val="Arial"/>
      <family val="0"/>
      <charset val="1"/>
    </font>
  </fonts>
  <fills count="7">
    <fill>
      <patternFill patternType="none"/>
    </fill>
    <fill>
      <patternFill patternType="gray125"/>
    </fill>
    <fill>
      <patternFill patternType="solid">
        <fgColor rgb="FFFF0000"/>
        <bgColor rgb="FF993300"/>
      </patternFill>
    </fill>
    <fill>
      <patternFill patternType="solid">
        <fgColor rgb="FFFFFFFF"/>
        <bgColor rgb="FFFFFFCC"/>
      </patternFill>
    </fill>
    <fill>
      <patternFill patternType="solid">
        <fgColor rgb="FF4A86E8"/>
        <bgColor rgb="FF666699"/>
      </patternFill>
    </fill>
    <fill>
      <patternFill patternType="solid">
        <fgColor rgb="FF00FF00"/>
        <bgColor rgb="FF33CCCC"/>
      </patternFill>
    </fill>
    <fill>
      <patternFill patternType="solid">
        <fgColor rgb="FF00FFFF"/>
        <bgColor rgb="FF00FFFF"/>
      </patternFill>
    </fill>
  </fills>
  <borders count="9">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top style="thin"/>
      <bottom style="thin"/>
      <diagonal/>
    </border>
    <border diagonalUp="false" diagonalDown="false">
      <left style="thin"/>
      <right style="thin"/>
      <top/>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right/>
      <top style="thin"/>
      <bottom/>
      <diagonal/>
    </border>
    <border diagonalUp="false" diagonalDown="false">
      <left style="thin"/>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center" textRotation="0" wrapText="false" indent="0" shrinkToFit="false"/>
      <protection locked="true" hidden="false"/>
    </xf>
    <xf numFmtId="165" fontId="4" fillId="0" borderId="0" xfId="0" applyFont="true" applyBorder="false" applyAlignment="true" applyProtection="true">
      <alignment horizontal="left"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center" textRotation="0" wrapText="false" indent="0" shrinkToFit="false"/>
      <protection locked="true" hidden="false"/>
    </xf>
    <xf numFmtId="164" fontId="4" fillId="0" borderId="2"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4" fillId="0" borderId="2" xfId="0" applyFont="true" applyBorder="true" applyAlignment="true" applyProtection="true">
      <alignment horizontal="general" vertical="bottom" textRotation="0" wrapText="true" indent="0" shrinkToFit="false"/>
      <protection locked="true" hidden="false"/>
    </xf>
    <xf numFmtId="164" fontId="4" fillId="0" borderId="1" xfId="0" applyFont="true" applyBorder="true" applyAlignment="true" applyProtection="true">
      <alignment horizontal="general" vertical="top" textRotation="0" wrapText="tru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4" fillId="0" borderId="3" xfId="0" applyFont="true" applyBorder="true" applyAlignment="true" applyProtection="true">
      <alignment horizontal="general" vertical="bottom" textRotation="0" wrapText="false" indent="0" shrinkToFit="false"/>
      <protection locked="true" hidden="false"/>
    </xf>
    <xf numFmtId="164" fontId="4" fillId="0" borderId="4" xfId="0" applyFont="true" applyBorder="true" applyAlignment="true" applyProtection="true">
      <alignment horizontal="general" vertical="bottom" textRotation="0" wrapText="false" indent="0" shrinkToFit="false"/>
      <protection locked="true" hidden="false"/>
    </xf>
    <xf numFmtId="164" fontId="4" fillId="0" borderId="3" xfId="0" applyFont="true" applyBorder="true" applyAlignment="true" applyProtection="true">
      <alignment horizontal="general" vertical="top" textRotation="0" wrapText="true" indent="0" shrinkToFit="false"/>
      <protection locked="true" hidden="false"/>
    </xf>
    <xf numFmtId="164" fontId="4" fillId="0" borderId="4" xfId="0" applyFont="true" applyBorder="true" applyAlignment="true" applyProtection="true">
      <alignment horizontal="general" vertical="top" textRotation="0" wrapText="true" indent="0" shrinkToFit="false"/>
      <protection locked="true" hidden="false"/>
    </xf>
    <xf numFmtId="164" fontId="4" fillId="0" borderId="5" xfId="0" applyFont="true" applyBorder="true" applyAlignment="true" applyProtection="true">
      <alignment horizontal="general" vertical="bottom" textRotation="0" wrapText="tru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4" fontId="4" fillId="0" borderId="2" xfId="0" applyFont="true" applyBorder="true" applyAlignment="true" applyProtection="true">
      <alignment horizontal="general" vertical="top" textRotation="0" wrapText="true" indent="0" shrinkToFit="false"/>
      <protection locked="true" hidden="false"/>
    </xf>
    <xf numFmtId="164" fontId="4" fillId="0" borderId="5" xfId="0" applyFont="true" applyBorder="true" applyAlignment="true" applyProtection="true">
      <alignment horizontal="general" vertical="top" textRotation="0" wrapText="true" indent="0" shrinkToFit="false"/>
      <protection locked="true" hidden="false"/>
    </xf>
    <xf numFmtId="164" fontId="4" fillId="4" borderId="0" xfId="0" applyFont="true" applyBorder="false" applyAlignment="true" applyProtection="true">
      <alignment horizontal="general" vertical="bottom" textRotation="0" wrapText="false" indent="0" shrinkToFit="false"/>
      <protection locked="true" hidden="false"/>
    </xf>
    <xf numFmtId="164" fontId="4" fillId="5"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4" fillId="0" borderId="1" xfId="0" applyFont="true" applyBorder="true" applyAlignment="true" applyProtection="true">
      <alignment horizontal="general" vertical="top" textRotation="0" wrapText="false" indent="0" shrinkToFit="false"/>
      <protection locked="true" hidden="false"/>
    </xf>
    <xf numFmtId="164" fontId="4" fillId="0" borderId="6" xfId="0" applyFont="true" applyBorder="tru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4" fillId="6"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4" fillId="0" borderId="1" xfId="0" applyFont="true" applyBorder="true" applyAlignment="true" applyProtection="true">
      <alignment horizontal="right" vertical="bottom" textRotation="0" wrapText="false" indent="0" shrinkToFit="false"/>
      <protection locked="true" hidden="false"/>
    </xf>
    <xf numFmtId="164" fontId="4" fillId="0" borderId="5" xfId="0" applyFont="true" applyBorder="true" applyAlignment="true" applyProtection="true">
      <alignment horizontal="right" vertical="bottom" textRotation="0" wrapText="false" indent="0" shrinkToFit="false"/>
      <protection locked="true" hidden="false"/>
    </xf>
    <xf numFmtId="164" fontId="4" fillId="0" borderId="5" xfId="0" applyFont="true" applyBorder="true" applyAlignment="true" applyProtection="true">
      <alignment horizontal="general" vertical="bottom" textRotation="0" wrapText="false" indent="0" shrinkToFit="false"/>
      <protection locked="true" hidden="false"/>
    </xf>
    <xf numFmtId="164" fontId="4" fillId="0" borderId="7" xfId="0" applyFont="true" applyBorder="true" applyAlignment="true" applyProtection="true">
      <alignment horizontal="right" vertical="bottom" textRotation="0" wrapText="false" indent="0" shrinkToFit="false"/>
      <protection locked="true" hidden="false"/>
    </xf>
    <xf numFmtId="164" fontId="4" fillId="0" borderId="7"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4" fillId="0" borderId="8"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000000"/>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86E8"/>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sharedStrings" Target="sharedStrings.xml"/>
</Relationships>
</file>

<file path=xl/tables/table1.xml><?xml version="1.0" encoding="utf-8"?>
<table xmlns="http://schemas.openxmlformats.org/spreadsheetml/2006/main" id="1" name="Tabela1" displayName="Tabela1"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tables/table2.xml><?xml version="1.0" encoding="utf-8"?>
<table xmlns="http://schemas.openxmlformats.org/spreadsheetml/2006/main" id="2" name="Tabela10" displayName="Tabela10"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tables/table3.xml><?xml version="1.0" encoding="utf-8"?>
<table xmlns="http://schemas.openxmlformats.org/spreadsheetml/2006/main" id="3" name="Tabela11" displayName="Tabela11"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tables/table4.xml><?xml version="1.0" encoding="utf-8"?>
<table xmlns="http://schemas.openxmlformats.org/spreadsheetml/2006/main" id="4" name="Tabela12" displayName="Tabela12"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tables/table5.xml><?xml version="1.0" encoding="utf-8"?>
<table xmlns="http://schemas.openxmlformats.org/spreadsheetml/2006/main" id="5" name="Tabela13" displayName="Tabela13"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tables/table6.xml><?xml version="1.0" encoding="utf-8"?>
<table xmlns="http://schemas.openxmlformats.org/spreadsheetml/2006/main" id="6" name="Tabela14" displayName="Tabela14"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tables/table7.xml><?xml version="1.0" encoding="utf-8"?>
<table xmlns="http://schemas.openxmlformats.org/spreadsheetml/2006/main" id="7" name="Tabela15" displayName="Tabela15"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tables/table8.xml><?xml version="1.0" encoding="utf-8"?>
<table xmlns="http://schemas.openxmlformats.org/spreadsheetml/2006/main" id="8" name="Tabela16" displayName="Tabela16"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tables/table9.xml><?xml version="1.0" encoding="utf-8"?>
<table xmlns="http://schemas.openxmlformats.org/spreadsheetml/2006/main" id="9" name="Tabela17" displayName="Tabela17"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tables/table10.xml><?xml version="1.0" encoding="utf-8"?>
<table xmlns="http://schemas.openxmlformats.org/spreadsheetml/2006/main" id="10" name="Tabela18" displayName="Tabela18"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tables/table11.xml><?xml version="1.0" encoding="utf-8"?>
<table xmlns="http://schemas.openxmlformats.org/spreadsheetml/2006/main" id="11" name="Tabela19" displayName="Tabela19"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tables/table12.xml><?xml version="1.0" encoding="utf-8"?>
<table xmlns="http://schemas.openxmlformats.org/spreadsheetml/2006/main" id="12" name="Tabela2" displayName="Tabela2"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tables/table13.xml><?xml version="1.0" encoding="utf-8"?>
<table xmlns="http://schemas.openxmlformats.org/spreadsheetml/2006/main" id="13" name="Tabela20" displayName="Tabela20"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tables/table14.xml><?xml version="1.0" encoding="utf-8"?>
<table xmlns="http://schemas.openxmlformats.org/spreadsheetml/2006/main" id="14" name="Tabela21" displayName="Tabela21"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tables/table15.xml><?xml version="1.0" encoding="utf-8"?>
<table xmlns="http://schemas.openxmlformats.org/spreadsheetml/2006/main" id="15" name="Tabela22" displayName="Tabela22"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tables/table16.xml><?xml version="1.0" encoding="utf-8"?>
<table xmlns="http://schemas.openxmlformats.org/spreadsheetml/2006/main" id="16" name="Tabela23" displayName="Tabela23"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tables/table17.xml><?xml version="1.0" encoding="utf-8"?>
<table xmlns="http://schemas.openxmlformats.org/spreadsheetml/2006/main" id="17" name="Tabela24" displayName="Tabela24"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tables/table18.xml><?xml version="1.0" encoding="utf-8"?>
<table xmlns="http://schemas.openxmlformats.org/spreadsheetml/2006/main" id="18" name="Tabela25" displayName="Tabela25"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tables/table19.xml><?xml version="1.0" encoding="utf-8"?>
<table xmlns="http://schemas.openxmlformats.org/spreadsheetml/2006/main" id="19" name="Tabela26" displayName="Tabela26"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tables/table20.xml><?xml version="1.0" encoding="utf-8"?>
<table xmlns="http://schemas.openxmlformats.org/spreadsheetml/2006/main" id="20" name="Tabela3" displayName="Tabela3"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tables/table21.xml><?xml version="1.0" encoding="utf-8"?>
<table xmlns="http://schemas.openxmlformats.org/spreadsheetml/2006/main" id="21" name="Tabela30" displayName="Tabela30" ref="A8:R14" headerRowCount="1" totalsRowCount="0" totalsRowShown="0">
  <tableColumns count="18">
    <tableColumn id="1" name="Level"/>
    <tableColumn id="2" name="Momentum"/>
    <tableColumn id="3" name="Physical Damage"/>
    <tableColumn id="4" name="Ranged Damage"/>
    <tableColumn id="5" name="Magic Damage"/>
    <tableColumn id="6" name="Stun Chance"/>
    <tableColumn id="7" name="Mana;Mana Regen"/>
    <tableColumn id="8" name="Health;Health Regen"/>
    <tableColumn id="9" name="Reliability"/>
    <tableColumn id="10" name="Opportunism"/>
    <tableColumn id="11" name="Isolation"/>
    <tableColumn id="12" name="Resistance Reduction"/>
    <tableColumn id="13" name="Accuracy"/>
    <tableColumn id="14" name="Block"/>
    <tableColumn id="15" name="Critical"/>
    <tableColumn id="16" name="Critical Power"/>
    <tableColumn id="17" name="Poison Damage"/>
    <tableColumn id="18" name="XP gain"/>
  </tableColumns>
</table>
</file>

<file path=xl/tables/table22.xml><?xml version="1.0" encoding="utf-8"?>
<table xmlns="http://schemas.openxmlformats.org/spreadsheetml/2006/main" id="22" name="Tabela31" displayName="Tabela31" ref="A8:W14" headerRowCount="1" totalsRowCount="0" totalsRowShown="0">
  <tableColumns count="23">
    <tableColumn id="1" name="Level"/>
    <tableColumn id="2" name="Propagation Bounces"/>
    <tableColumn id="3" name="Propagation Damage"/>
    <tableColumn id="4" name="Move Points;Dodge"/>
    <tableColumn id="5" name="Skill Range"/>
    <tableColumn id="6" name="Armor;Resistance"/>
    <tableColumn id="7" name="Momentum"/>
    <tableColumn id="8" name="Physical Damage"/>
    <tableColumn id="9" name="Ranged Damage"/>
    <tableColumn id="10" name="Magic Damage"/>
    <tableColumn id="11" name="Stun Chance"/>
    <tableColumn id="12" name="Mana;Mana Regen"/>
    <tableColumn id="13" name="Health;Health Regen"/>
    <tableColumn id="14" name="Reliability"/>
    <tableColumn id="15" name="Opportunism"/>
    <tableColumn id="16" name="Isolation"/>
    <tableColumn id="17" name="Resistance Reduction"/>
    <tableColumn id="18" name="Accuracy"/>
    <tableColumn id="19" name="Block"/>
    <tableColumn id="20" name="Critical"/>
    <tableColumn id="21" name="Critical Power"/>
    <tableColumn id="22" name="Poison Damage"/>
    <tableColumn id="23" name="XP gain"/>
  </tableColumns>
</table>
</file>

<file path=xl/tables/table23.xml><?xml version="1.0" encoding="utf-8"?>
<table xmlns="http://schemas.openxmlformats.org/spreadsheetml/2006/main" id="23" name="Tabela4" displayName="Tabela4"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tables/table24.xml><?xml version="1.0" encoding="utf-8"?>
<table xmlns="http://schemas.openxmlformats.org/spreadsheetml/2006/main" id="24" name="Tabela5" displayName="Tabela5"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tables/table25.xml><?xml version="1.0" encoding="utf-8"?>
<table xmlns="http://schemas.openxmlformats.org/spreadsheetml/2006/main" id="25" name="Tabela6" displayName="Tabela6"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tables/table26.xml><?xml version="1.0" encoding="utf-8"?>
<table xmlns="http://schemas.openxmlformats.org/spreadsheetml/2006/main" id="26" name="Tabela7" displayName="Tabela7"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tables/table27.xml><?xml version="1.0" encoding="utf-8"?>
<table xmlns="http://schemas.openxmlformats.org/spreadsheetml/2006/main" id="27" name="Tabela8" displayName="Tabela8"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tables/table28.xml><?xml version="1.0" encoding="utf-8"?>
<table xmlns="http://schemas.openxmlformats.org/spreadsheetml/2006/main" id="28" name="Tabela9" displayName="Tabela9" ref="A5:H12" headerRowCount="1" totalsRowCount="0" totalsRowShown="0">
  <tableColumns count="8">
    <tableColumn id="1" name="Level"/>
    <tableColumn id="2" name="old min damage"/>
    <tableColumn id="3" name="old max damage"/>
    <tableColumn id="4" name="old avg damage"/>
    <tableColumn id="5" name="new min damage"/>
    <tableColumn id="6" name="new max damage"/>
    <tableColumn id="7" name="new avg damage (baseline)"/>
    <tableColumn id="8" name="spread"/>
  </tableColumns>
</table>
</file>

<file path=xl/worksheets/_rels/sheet1.xml.rels><?xml version="1.0" encoding="UTF-8"?>
<Relationships xmlns="http://schemas.openxmlformats.org/package/2006/relationships"><Relationship Id="rId1" Type="http://schemas.openxmlformats.org/officeDocument/2006/relationships/table" Target="../tables/table21.xml"/>
</Relationships>
</file>

<file path=xl/worksheets/_rels/sheet2.xml.rels><?xml version="1.0" encoding="UTF-8"?>
<Relationships xmlns="http://schemas.openxmlformats.org/package/2006/relationships"><Relationship Id="rId1" Type="http://schemas.openxmlformats.org/officeDocument/2006/relationships/table" Target="../tables/table22.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Relationship Id="rId3" Type="http://schemas.openxmlformats.org/officeDocument/2006/relationships/table" Target="../tables/table12.xml"/>
</Relationships>
</file>

<file path=xl/worksheets/_rels/sheet5.xml.rels><?xml version="1.0" encoding="UTF-8"?>
<Relationships xmlns="http://schemas.openxmlformats.org/package/2006/relationships"><Relationship Id="rId1" Type="http://schemas.openxmlformats.org/officeDocument/2006/relationships/table" Target="../tables/table20.xml"/>
</Relationships>
</file>

<file path=xl/worksheets/_rels/sheet6.xml.rels><?xml version="1.0" encoding="UTF-8"?>
<Relationships xmlns="http://schemas.openxmlformats.org/package/2006/relationships"><Relationship Id="rId1" Type="http://schemas.openxmlformats.org/officeDocument/2006/relationships/table" Target="../tables/table23.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2.vml"/><Relationship Id="rId3" Type="http://schemas.openxmlformats.org/officeDocument/2006/relationships/table" Target="../tables/table24.xml"/>
</Relationships>
</file>

<file path=xl/worksheets/_rels/sheet8.xml.rels><?xml version="1.0" encoding="UTF-8"?>
<Relationships xmlns="http://schemas.openxmlformats.org/package/2006/relationships"><Relationship Id="rId1" Type="http://schemas.openxmlformats.org/officeDocument/2006/relationships/table" Target="../tables/table25.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Relationship Id="rId3" Type="http://schemas.openxmlformats.org/officeDocument/2006/relationships/table" Target="../tables/table26.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Relationship Id="rId3" Type="http://schemas.openxmlformats.org/officeDocument/2006/relationships/table" Target="../tables/table27.x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Relationship Id="rId3" Type="http://schemas.openxmlformats.org/officeDocument/2006/relationships/table" Target="../tables/table28.xml"/>
</Relationships>
</file>

<file path=xl/worksheets/_rels/sheet12.xml.rels><?xml version="1.0" encoding="UTF-8"?>
<Relationships xmlns="http://schemas.openxmlformats.org/package/2006/relationships"><Relationship Id="rId1" Type="http://schemas.openxmlformats.org/officeDocument/2006/relationships/table" Target="../tables/table2.x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6.vml"/><Relationship Id="rId3" Type="http://schemas.openxmlformats.org/officeDocument/2006/relationships/table" Target="../tables/table6.xml"/>
</Relationships>
</file>

<file path=xl/worksheets/_rels/sheet14.xml.rels><?xml version="1.0" encoding="UTF-8"?>
<Relationships xmlns="http://schemas.openxmlformats.org/package/2006/relationships"><Relationship Id="rId1" Type="http://schemas.openxmlformats.org/officeDocument/2006/relationships/table" Target="../tables/table7.x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7.vml"/><Relationship Id="rId3" Type="http://schemas.openxmlformats.org/officeDocument/2006/relationships/table" Target="../tables/table3.x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8.vml"/><Relationship Id="rId3" Type="http://schemas.openxmlformats.org/officeDocument/2006/relationships/table" Target="../tables/table4.x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9.vml"/><Relationship Id="rId3" Type="http://schemas.openxmlformats.org/officeDocument/2006/relationships/table" Target="../tables/table5.x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0.vml"/><Relationship Id="rId3" Type="http://schemas.openxmlformats.org/officeDocument/2006/relationships/table" Target="../tables/table8.xml"/>
</Relationships>
</file>

<file path=xl/worksheets/_rels/sheet19.xml.rels><?xml version="1.0" encoding="UTF-8"?>
<Relationships xmlns="http://schemas.openxmlformats.org/package/2006/relationships"><Relationship Id="rId1" Type="http://schemas.openxmlformats.org/officeDocument/2006/relationships/table" Target="../tables/table9.x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1.vml"/><Relationship Id="rId3" Type="http://schemas.openxmlformats.org/officeDocument/2006/relationships/table" Target="../tables/table10.xml"/>
</Relationships>
</file>

<file path=xl/worksheets/_rels/sheet21.xml.rels><?xml version="1.0" encoding="UTF-8"?>
<Relationships xmlns="http://schemas.openxmlformats.org/package/2006/relationships"><Relationship Id="rId1" Type="http://schemas.openxmlformats.org/officeDocument/2006/relationships/table" Target="../tables/table11.x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2.vml"/><Relationship Id="rId3" Type="http://schemas.openxmlformats.org/officeDocument/2006/relationships/table" Target="../tables/table13.xml"/>
</Relationships>
</file>

<file path=xl/worksheets/_rels/sheet23.xml.rels><?xml version="1.0" encoding="UTF-8"?>
<Relationships xmlns="http://schemas.openxmlformats.org/package/2006/relationships"><Relationship Id="rId1" Type="http://schemas.openxmlformats.org/officeDocument/2006/relationships/table" Target="../tables/table14.xml"/>
</Relationships>
</file>

<file path=xl/worksheets/_rels/sheet24.xml.rels><?xml version="1.0" encoding="UTF-8"?>
<Relationships xmlns="http://schemas.openxmlformats.org/package/2006/relationships"><Relationship Id="rId1" Type="http://schemas.openxmlformats.org/officeDocument/2006/relationships/table" Target="../tables/table15.xml"/>
</Relationships>
</file>

<file path=xl/worksheets/_rels/sheet25.xml.rels><?xml version="1.0" encoding="UTF-8"?>
<Relationships xmlns="http://schemas.openxmlformats.org/package/2006/relationships"><Relationship Id="rId1" Type="http://schemas.openxmlformats.org/officeDocument/2006/relationships/table" Target="../tables/table16.x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13.vml"/><Relationship Id="rId3" Type="http://schemas.openxmlformats.org/officeDocument/2006/relationships/table" Target="../tables/table17.xml"/>
</Relationships>
</file>

<file path=xl/worksheets/_rels/sheet27.xml.rels><?xml version="1.0" encoding="UTF-8"?>
<Relationships xmlns="http://schemas.openxmlformats.org/package/2006/relationships"><Relationship Id="rId1" Type="http://schemas.openxmlformats.org/officeDocument/2006/relationships/table" Target="../tables/table18.xml"/>
</Relationships>
</file>

<file path=xl/worksheets/_rels/sheet28.xml.rels><?xml version="1.0" encoding="UTF-8"?>
<Relationships xmlns="http://schemas.openxmlformats.org/package/2006/relationships"><Relationship Id="rId1" Type="http://schemas.openxmlformats.org/officeDocument/2006/relationships/table" Target="../tables/table1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R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2" min="2" style="1" width="14"/>
    <col collapsed="false" customWidth="true" hidden="false" outlineLevel="0" max="3" min="3" style="1" width="18.25"/>
    <col collapsed="false" customWidth="true" hidden="false" outlineLevel="0" max="4" min="4" style="1" width="17.63"/>
    <col collapsed="false" customWidth="true" hidden="false" outlineLevel="0" max="5" min="5" style="1" width="16.63"/>
    <col collapsed="false" customWidth="true" hidden="false" outlineLevel="0" max="6" min="6" style="1" width="14.88"/>
    <col collapsed="false" customWidth="true" hidden="false" outlineLevel="0" max="7" min="7" style="1" width="19.25"/>
    <col collapsed="false" customWidth="true" hidden="false" outlineLevel="0" max="8" min="8" style="1" width="17.88"/>
    <col collapsed="false" customWidth="true" hidden="false" outlineLevel="0" max="10" min="10" style="1" width="15.13"/>
    <col collapsed="false" customWidth="true" hidden="false" outlineLevel="0" max="12" min="12" style="1" width="20.75"/>
    <col collapsed="false" customWidth="true" hidden="false" outlineLevel="0" max="16" min="16" style="1" width="15.75"/>
    <col collapsed="false" customWidth="true" hidden="false" outlineLevel="0" max="17" min="17" style="1" width="17.13"/>
  </cols>
  <sheetData>
    <row r="3" customFormat="false" ht="15.75" hidden="false" customHeight="false" outlineLevel="0" collapsed="false">
      <c r="A3" s="2" t="s">
        <v>0</v>
      </c>
    </row>
    <row r="8" customFormat="false" ht="22.5" hidden="false" customHeight="true" outlineLevel="0" collapsed="false">
      <c r="A8" s="3" t="s">
        <v>1</v>
      </c>
      <c r="B8" s="3" t="s">
        <v>2</v>
      </c>
      <c r="C8" s="3" t="s">
        <v>3</v>
      </c>
      <c r="D8" s="3" t="s">
        <v>4</v>
      </c>
      <c r="E8" s="3" t="s">
        <v>5</v>
      </c>
      <c r="F8" s="3" t="s">
        <v>6</v>
      </c>
      <c r="G8" s="3" t="s">
        <v>7</v>
      </c>
      <c r="H8" s="3" t="s">
        <v>8</v>
      </c>
      <c r="I8" s="3" t="s">
        <v>9</v>
      </c>
      <c r="J8" s="3" t="s">
        <v>10</v>
      </c>
      <c r="K8" s="3" t="s">
        <v>11</v>
      </c>
      <c r="L8" s="4" t="s">
        <v>12</v>
      </c>
      <c r="M8" s="3" t="s">
        <v>13</v>
      </c>
      <c r="N8" s="3" t="s">
        <v>14</v>
      </c>
      <c r="O8" s="3" t="s">
        <v>15</v>
      </c>
      <c r="P8" s="3" t="s">
        <v>16</v>
      </c>
      <c r="Q8" s="3" t="s">
        <v>17</v>
      </c>
      <c r="R8" s="3" t="s">
        <v>18</v>
      </c>
    </row>
    <row r="9" customFormat="false" ht="22.5" hidden="false" customHeight="true" outlineLevel="0" collapsed="false">
      <c r="A9" s="5" t="n">
        <v>0</v>
      </c>
      <c r="B9" s="5" t="n">
        <v>5</v>
      </c>
      <c r="C9" s="5" t="n">
        <v>5</v>
      </c>
      <c r="D9" s="5" t="n">
        <v>5</v>
      </c>
      <c r="E9" s="5" t="n">
        <v>5</v>
      </c>
      <c r="F9" s="5" t="n">
        <v>7</v>
      </c>
      <c r="G9" s="5" t="s">
        <v>19</v>
      </c>
      <c r="H9" s="5" t="s">
        <v>20</v>
      </c>
      <c r="I9" s="5" t="n">
        <v>15</v>
      </c>
      <c r="J9" s="5" t="n">
        <v>6</v>
      </c>
      <c r="K9" s="5" t="n">
        <v>7</v>
      </c>
      <c r="L9" s="5" t="n">
        <v>7</v>
      </c>
      <c r="M9" s="5" t="n">
        <v>6</v>
      </c>
      <c r="N9" s="5" t="n">
        <v>7</v>
      </c>
      <c r="O9" s="5" t="n">
        <v>6</v>
      </c>
      <c r="P9" s="5" t="n">
        <v>15</v>
      </c>
      <c r="Q9" s="5" t="n">
        <v>15</v>
      </c>
      <c r="R9" s="5" t="n">
        <v>15</v>
      </c>
    </row>
    <row r="10" customFormat="false" ht="22.5" hidden="false" customHeight="true" outlineLevel="0" collapsed="false">
      <c r="A10" s="5" t="n">
        <v>1</v>
      </c>
      <c r="B10" s="5" t="n">
        <v>6</v>
      </c>
      <c r="C10" s="5" t="n">
        <v>6</v>
      </c>
      <c r="D10" s="5" t="n">
        <v>6</v>
      </c>
      <c r="E10" s="5" t="n">
        <v>6</v>
      </c>
      <c r="F10" s="5" t="n">
        <v>8</v>
      </c>
      <c r="G10" s="5" t="s">
        <v>21</v>
      </c>
      <c r="H10" s="5" t="s">
        <v>22</v>
      </c>
      <c r="I10" s="5" t="n">
        <v>18</v>
      </c>
      <c r="J10" s="5" t="n">
        <v>7</v>
      </c>
      <c r="K10" s="5" t="n">
        <v>8</v>
      </c>
      <c r="L10" s="5" t="n">
        <v>8</v>
      </c>
      <c r="M10" s="5" t="n">
        <v>7</v>
      </c>
      <c r="N10" s="5" t="n">
        <v>8</v>
      </c>
      <c r="O10" s="5" t="n">
        <v>7</v>
      </c>
      <c r="P10" s="5" t="n">
        <v>18</v>
      </c>
      <c r="Q10" s="5" t="n">
        <v>18</v>
      </c>
      <c r="R10" s="5" t="n">
        <v>18</v>
      </c>
    </row>
    <row r="11" customFormat="false" ht="22.5" hidden="false" customHeight="true" outlineLevel="0" collapsed="false">
      <c r="A11" s="5" t="n">
        <v>2</v>
      </c>
      <c r="B11" s="5" t="n">
        <v>7</v>
      </c>
      <c r="C11" s="5" t="n">
        <v>7</v>
      </c>
      <c r="D11" s="5" t="n">
        <v>7</v>
      </c>
      <c r="E11" s="5" t="n">
        <v>7</v>
      </c>
      <c r="F11" s="5" t="n">
        <v>9</v>
      </c>
      <c r="G11" s="5" t="s">
        <v>23</v>
      </c>
      <c r="H11" s="5" t="s">
        <v>24</v>
      </c>
      <c r="I11" s="5" t="n">
        <v>21</v>
      </c>
      <c r="J11" s="5" t="n">
        <v>8</v>
      </c>
      <c r="K11" s="5" t="n">
        <v>9</v>
      </c>
      <c r="L11" s="5" t="n">
        <v>9</v>
      </c>
      <c r="M11" s="5" t="n">
        <v>8</v>
      </c>
      <c r="N11" s="5" t="n">
        <v>9</v>
      </c>
      <c r="O11" s="5" t="n">
        <v>8</v>
      </c>
      <c r="P11" s="5" t="n">
        <v>21</v>
      </c>
      <c r="Q11" s="5" t="n">
        <v>21</v>
      </c>
      <c r="R11" s="5" t="n">
        <v>21</v>
      </c>
    </row>
    <row r="12" customFormat="false" ht="22.5" hidden="false" customHeight="true" outlineLevel="0" collapsed="false">
      <c r="A12" s="5" t="n">
        <v>3</v>
      </c>
      <c r="B12" s="5" t="n">
        <v>8</v>
      </c>
      <c r="C12" s="5" t="n">
        <v>8</v>
      </c>
      <c r="D12" s="5" t="n">
        <v>8</v>
      </c>
      <c r="E12" s="5" t="n">
        <v>8</v>
      </c>
      <c r="F12" s="5" t="n">
        <v>11</v>
      </c>
      <c r="G12" s="5" t="s">
        <v>25</v>
      </c>
      <c r="H12" s="5" t="s">
        <v>26</v>
      </c>
      <c r="I12" s="5" t="n">
        <v>24</v>
      </c>
      <c r="J12" s="5" t="n">
        <v>9</v>
      </c>
      <c r="K12" s="5" t="n">
        <v>11</v>
      </c>
      <c r="L12" s="5" t="n">
        <v>11</v>
      </c>
      <c r="M12" s="5" t="n">
        <v>9</v>
      </c>
      <c r="N12" s="5" t="n">
        <v>11</v>
      </c>
      <c r="O12" s="5" t="n">
        <v>9</v>
      </c>
      <c r="P12" s="5" t="n">
        <v>24</v>
      </c>
      <c r="Q12" s="5" t="n">
        <v>24</v>
      </c>
      <c r="R12" s="5" t="n">
        <v>24</v>
      </c>
    </row>
    <row r="13" customFormat="false" ht="22.5" hidden="false" customHeight="true" outlineLevel="0" collapsed="false">
      <c r="A13" s="5" t="n">
        <v>4</v>
      </c>
      <c r="B13" s="5" t="n">
        <v>9</v>
      </c>
      <c r="C13" s="5" t="n">
        <v>9</v>
      </c>
      <c r="D13" s="5" t="n">
        <v>9</v>
      </c>
      <c r="E13" s="5" t="n">
        <v>9</v>
      </c>
      <c r="F13" s="5" t="n">
        <v>13</v>
      </c>
      <c r="G13" s="5" t="s">
        <v>27</v>
      </c>
      <c r="H13" s="5" t="s">
        <v>28</v>
      </c>
      <c r="I13" s="5" t="n">
        <v>27</v>
      </c>
      <c r="J13" s="5" t="n">
        <v>10</v>
      </c>
      <c r="K13" s="5" t="n">
        <v>13</v>
      </c>
      <c r="L13" s="5" t="n">
        <v>13</v>
      </c>
      <c r="M13" s="5" t="n">
        <v>10</v>
      </c>
      <c r="N13" s="5" t="n">
        <v>13</v>
      </c>
      <c r="O13" s="5" t="n">
        <v>10</v>
      </c>
      <c r="P13" s="5" t="n">
        <v>27</v>
      </c>
      <c r="Q13" s="5" t="n">
        <v>27</v>
      </c>
      <c r="R13" s="5" t="n">
        <v>27</v>
      </c>
    </row>
    <row r="14" customFormat="false" ht="22.5" hidden="false" customHeight="true" outlineLevel="0" collapsed="false">
      <c r="A14" s="5" t="n">
        <v>5</v>
      </c>
      <c r="B14" s="5" t="n">
        <v>10</v>
      </c>
      <c r="C14" s="5" t="n">
        <v>10</v>
      </c>
      <c r="D14" s="5" t="n">
        <v>10</v>
      </c>
      <c r="E14" s="5" t="n">
        <v>10</v>
      </c>
      <c r="F14" s="5" t="n">
        <v>15</v>
      </c>
      <c r="G14" s="5" t="s">
        <v>29</v>
      </c>
      <c r="H14" s="5" t="s">
        <v>30</v>
      </c>
      <c r="I14" s="5" t="n">
        <v>30</v>
      </c>
      <c r="J14" s="5" t="n">
        <v>12</v>
      </c>
      <c r="K14" s="5" t="n">
        <v>15</v>
      </c>
      <c r="L14" s="5" t="n">
        <v>15</v>
      </c>
      <c r="M14" s="5" t="n">
        <v>12</v>
      </c>
      <c r="N14" s="5" t="n">
        <v>15</v>
      </c>
      <c r="O14" s="5" t="n">
        <v>12</v>
      </c>
      <c r="P14" s="5" t="n">
        <v>30</v>
      </c>
      <c r="Q14" s="5" t="n">
        <v>30</v>
      </c>
      <c r="R14" s="5" t="n">
        <v>30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W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3" min="2" style="1" width="21.5"/>
    <col collapsed="false" customWidth="true" hidden="false" outlineLevel="0" max="4" min="4" style="1" width="19.13"/>
    <col collapsed="false" customWidth="true" hidden="false" outlineLevel="0" max="8" min="8" style="1" width="18.13"/>
    <col collapsed="false" customWidth="true" hidden="false" outlineLevel="0" max="9" min="9" style="1" width="18.88"/>
    <col collapsed="false" customWidth="true" hidden="false" outlineLevel="0" max="10" min="10" style="1" width="17"/>
    <col collapsed="false" customWidth="true" hidden="false" outlineLevel="0" max="12" min="12" style="1" width="18.13"/>
    <col collapsed="false" customWidth="true" hidden="false" outlineLevel="0" max="13" min="13" style="1" width="16.89"/>
    <col collapsed="false" customWidth="true" hidden="false" outlineLevel="0" max="17" min="17" style="1" width="22.25"/>
    <col collapsed="false" customWidth="true" hidden="false" outlineLevel="0" max="18" min="18" style="1" width="14.75"/>
    <col collapsed="false" customWidth="true" hidden="false" outlineLevel="0" max="22" min="22" style="1" width="15.13"/>
    <col collapsed="false" customWidth="true" hidden="false" outlineLevel="0" max="23" min="23" style="1" width="13.38"/>
  </cols>
  <sheetData>
    <row r="3" customFormat="false" ht="15.75" hidden="false" customHeight="false" outlineLevel="0" collapsed="false">
      <c r="A3" s="2" t="s">
        <v>31</v>
      </c>
    </row>
    <row r="4" customFormat="false" ht="15.75" hidden="false" customHeight="false" outlineLevel="0" collapsed="false">
      <c r="A4" s="2"/>
    </row>
    <row r="8" customFormat="false" ht="22.5" hidden="false" customHeight="true" outlineLevel="0" collapsed="false">
      <c r="A8" s="3" t="s">
        <v>1</v>
      </c>
      <c r="B8" s="4" t="s">
        <v>32</v>
      </c>
      <c r="C8" s="4" t="s">
        <v>33</v>
      </c>
      <c r="D8" s="4" t="s">
        <v>34</v>
      </c>
      <c r="E8" s="4" t="s">
        <v>35</v>
      </c>
      <c r="F8" s="4" t="s">
        <v>36</v>
      </c>
      <c r="G8" s="3" t="s">
        <v>2</v>
      </c>
      <c r="H8" s="3" t="s">
        <v>3</v>
      </c>
      <c r="I8" s="3" t="s">
        <v>4</v>
      </c>
      <c r="J8" s="3" t="s">
        <v>5</v>
      </c>
      <c r="K8" s="3" t="s">
        <v>6</v>
      </c>
      <c r="L8" s="3" t="s">
        <v>7</v>
      </c>
      <c r="M8" s="3" t="s">
        <v>8</v>
      </c>
      <c r="N8" s="3" t="s">
        <v>9</v>
      </c>
      <c r="O8" s="3" t="s">
        <v>10</v>
      </c>
      <c r="P8" s="3" t="s">
        <v>11</v>
      </c>
      <c r="Q8" s="4" t="s">
        <v>12</v>
      </c>
      <c r="R8" s="3" t="s">
        <v>13</v>
      </c>
      <c r="S8" s="3" t="s">
        <v>14</v>
      </c>
      <c r="T8" s="3" t="s">
        <v>15</v>
      </c>
      <c r="U8" s="3" t="s">
        <v>16</v>
      </c>
      <c r="V8" s="3" t="s">
        <v>17</v>
      </c>
      <c r="W8" s="3" t="s">
        <v>18</v>
      </c>
    </row>
    <row r="9" customFormat="false" ht="22.5" hidden="false" customHeight="true" outlineLevel="0" collapsed="false">
      <c r="A9" s="5" t="n">
        <v>0</v>
      </c>
      <c r="B9" s="5" t="n">
        <v>1</v>
      </c>
      <c r="C9" s="5" t="n">
        <v>4</v>
      </c>
      <c r="D9" s="5" t="s">
        <v>37</v>
      </c>
      <c r="E9" s="5" t="n">
        <v>1</v>
      </c>
      <c r="F9" s="5" t="s">
        <v>38</v>
      </c>
      <c r="G9" s="5" t="n">
        <v>8</v>
      </c>
      <c r="H9" s="5" t="n">
        <v>8</v>
      </c>
      <c r="I9" s="5" t="n">
        <v>8</v>
      </c>
      <c r="J9" s="5" t="n">
        <v>8</v>
      </c>
      <c r="K9" s="5" t="n">
        <v>12</v>
      </c>
      <c r="L9" s="5" t="s">
        <v>27</v>
      </c>
      <c r="M9" s="5" t="s">
        <v>39</v>
      </c>
      <c r="N9" s="5" t="n">
        <v>25</v>
      </c>
      <c r="O9" s="5" t="n">
        <v>10</v>
      </c>
      <c r="P9" s="5" t="n">
        <v>12</v>
      </c>
      <c r="Q9" s="5" t="n">
        <v>11</v>
      </c>
      <c r="R9" s="5" t="n">
        <v>9</v>
      </c>
      <c r="S9" s="5" t="n">
        <v>11</v>
      </c>
      <c r="T9" s="5" t="n">
        <v>9</v>
      </c>
      <c r="U9" s="5" t="n">
        <v>25</v>
      </c>
      <c r="V9" s="5" t="n">
        <v>25</v>
      </c>
      <c r="W9" s="5" t="n">
        <v>25</v>
      </c>
    </row>
    <row r="10" customFormat="false" ht="22.5" hidden="false" customHeight="true" outlineLevel="0" collapsed="false">
      <c r="A10" s="5" t="n">
        <v>1</v>
      </c>
      <c r="B10" s="5" t="n">
        <v>1</v>
      </c>
      <c r="C10" s="5" t="n">
        <v>4</v>
      </c>
      <c r="D10" s="5" t="s">
        <v>40</v>
      </c>
      <c r="E10" s="5" t="n">
        <v>1</v>
      </c>
      <c r="F10" s="5" t="s">
        <v>41</v>
      </c>
      <c r="G10" s="5" t="n">
        <v>9</v>
      </c>
      <c r="H10" s="5" t="n">
        <v>9</v>
      </c>
      <c r="I10" s="5" t="n">
        <v>9</v>
      </c>
      <c r="J10" s="5" t="n">
        <v>9</v>
      </c>
      <c r="K10" s="5" t="n">
        <v>14</v>
      </c>
      <c r="L10" s="5" t="s">
        <v>29</v>
      </c>
      <c r="M10" s="5" t="s">
        <v>42</v>
      </c>
      <c r="N10" s="5" t="n">
        <v>30</v>
      </c>
      <c r="O10" s="5" t="n">
        <v>12</v>
      </c>
      <c r="P10" s="5" t="n">
        <v>14</v>
      </c>
      <c r="Q10" s="5" t="n">
        <v>13</v>
      </c>
      <c r="R10" s="5" t="n">
        <v>10</v>
      </c>
      <c r="S10" s="5" t="n">
        <v>13</v>
      </c>
      <c r="T10" s="5" t="n">
        <v>10</v>
      </c>
      <c r="U10" s="5" t="n">
        <v>30</v>
      </c>
      <c r="V10" s="5" t="n">
        <v>30</v>
      </c>
      <c r="W10" s="5" t="n">
        <v>30</v>
      </c>
    </row>
    <row r="11" customFormat="false" ht="22.5" hidden="false" customHeight="true" outlineLevel="0" collapsed="false">
      <c r="A11" s="5" t="n">
        <v>2</v>
      </c>
      <c r="B11" s="5" t="n">
        <v>1</v>
      </c>
      <c r="C11" s="5" t="n">
        <v>5</v>
      </c>
      <c r="D11" s="5" t="s">
        <v>43</v>
      </c>
      <c r="E11" s="5" t="n">
        <v>1</v>
      </c>
      <c r="F11" s="5" t="s">
        <v>44</v>
      </c>
      <c r="G11" s="5" t="n">
        <v>10</v>
      </c>
      <c r="H11" s="5" t="n">
        <v>10</v>
      </c>
      <c r="I11" s="5" t="n">
        <v>10</v>
      </c>
      <c r="J11" s="5" t="n">
        <v>10</v>
      </c>
      <c r="K11" s="5" t="n">
        <v>16</v>
      </c>
      <c r="L11" s="5" t="s">
        <v>45</v>
      </c>
      <c r="M11" s="5" t="s">
        <v>46</v>
      </c>
      <c r="N11" s="5" t="n">
        <v>35</v>
      </c>
      <c r="O11" s="5" t="n">
        <v>14</v>
      </c>
      <c r="P11" s="5" t="n">
        <v>16</v>
      </c>
      <c r="Q11" s="5" t="n">
        <v>15</v>
      </c>
      <c r="R11" s="5" t="n">
        <v>12</v>
      </c>
      <c r="S11" s="5" t="n">
        <v>15</v>
      </c>
      <c r="T11" s="5" t="n">
        <v>12</v>
      </c>
      <c r="U11" s="5" t="n">
        <v>35</v>
      </c>
      <c r="V11" s="5" t="n">
        <v>35</v>
      </c>
      <c r="W11" s="5" t="n">
        <v>35</v>
      </c>
    </row>
    <row r="12" customFormat="false" ht="22.5" hidden="false" customHeight="true" outlineLevel="0" collapsed="false">
      <c r="A12" s="5" t="n">
        <v>3</v>
      </c>
      <c r="B12" s="5" t="n">
        <v>2</v>
      </c>
      <c r="C12" s="5" t="n">
        <v>6</v>
      </c>
      <c r="D12" s="5" t="s">
        <v>47</v>
      </c>
      <c r="E12" s="5" t="n">
        <v>2</v>
      </c>
      <c r="F12" s="5" t="s">
        <v>48</v>
      </c>
      <c r="G12" s="5" t="n">
        <v>12</v>
      </c>
      <c r="H12" s="5" t="n">
        <v>12</v>
      </c>
      <c r="I12" s="5" t="n">
        <v>12</v>
      </c>
      <c r="J12" s="5" t="n">
        <v>12</v>
      </c>
      <c r="K12" s="5" t="n">
        <v>18</v>
      </c>
      <c r="L12" s="5" t="s">
        <v>49</v>
      </c>
      <c r="M12" s="5" t="s">
        <v>50</v>
      </c>
      <c r="N12" s="5" t="n">
        <v>40</v>
      </c>
      <c r="O12" s="5" t="n">
        <v>16</v>
      </c>
      <c r="P12" s="5" t="n">
        <v>18</v>
      </c>
      <c r="Q12" s="5" t="n">
        <v>17</v>
      </c>
      <c r="R12" s="5" t="n">
        <v>14</v>
      </c>
      <c r="S12" s="5" t="n">
        <v>17</v>
      </c>
      <c r="T12" s="5" t="n">
        <v>14</v>
      </c>
      <c r="U12" s="5" t="n">
        <v>40</v>
      </c>
      <c r="V12" s="5" t="n">
        <v>40</v>
      </c>
      <c r="W12" s="5" t="n">
        <v>40</v>
      </c>
    </row>
    <row r="13" customFormat="false" ht="22.5" hidden="false" customHeight="true" outlineLevel="0" collapsed="false">
      <c r="A13" s="5" t="n">
        <v>4</v>
      </c>
      <c r="B13" s="5" t="n">
        <v>2</v>
      </c>
      <c r="C13" s="5" t="n">
        <v>7</v>
      </c>
      <c r="D13" s="5" t="s">
        <v>51</v>
      </c>
      <c r="E13" s="5" t="n">
        <v>2</v>
      </c>
      <c r="F13" s="5" t="s">
        <v>52</v>
      </c>
      <c r="G13" s="5" t="n">
        <v>14</v>
      </c>
      <c r="H13" s="5" t="n">
        <v>14</v>
      </c>
      <c r="I13" s="5" t="n">
        <v>14</v>
      </c>
      <c r="J13" s="5" t="n">
        <v>14</v>
      </c>
      <c r="K13" s="5" t="n">
        <v>21</v>
      </c>
      <c r="L13" s="5" t="s">
        <v>53</v>
      </c>
      <c r="M13" s="5" t="s">
        <v>54</v>
      </c>
      <c r="N13" s="5" t="n">
        <v>45</v>
      </c>
      <c r="O13" s="5" t="n">
        <v>18</v>
      </c>
      <c r="P13" s="5" t="n">
        <v>21</v>
      </c>
      <c r="Q13" s="5" t="n">
        <v>19</v>
      </c>
      <c r="R13" s="5" t="n">
        <v>16</v>
      </c>
      <c r="S13" s="5" t="n">
        <v>19</v>
      </c>
      <c r="T13" s="5" t="n">
        <v>16</v>
      </c>
      <c r="U13" s="5" t="n">
        <v>45</v>
      </c>
      <c r="V13" s="5" t="n">
        <v>45</v>
      </c>
      <c r="W13" s="5" t="n">
        <v>45</v>
      </c>
    </row>
    <row r="14" customFormat="false" ht="22.5" hidden="false" customHeight="true" outlineLevel="0" collapsed="false">
      <c r="A14" s="5" t="n">
        <v>5</v>
      </c>
      <c r="B14" s="5" t="n">
        <v>2</v>
      </c>
      <c r="C14" s="5" t="n">
        <v>8</v>
      </c>
      <c r="D14" s="5" t="s">
        <v>55</v>
      </c>
      <c r="E14" s="5" t="n">
        <v>2</v>
      </c>
      <c r="F14" s="5" t="s">
        <v>56</v>
      </c>
      <c r="G14" s="5" t="n">
        <v>16</v>
      </c>
      <c r="H14" s="5" t="n">
        <v>16</v>
      </c>
      <c r="I14" s="5" t="n">
        <v>16</v>
      </c>
      <c r="J14" s="5" t="n">
        <v>16</v>
      </c>
      <c r="K14" s="5" t="n">
        <v>24</v>
      </c>
      <c r="L14" s="5" t="s">
        <v>57</v>
      </c>
      <c r="M14" s="5" t="s">
        <v>58</v>
      </c>
      <c r="N14" s="5" t="n">
        <v>50</v>
      </c>
      <c r="O14" s="5" t="n">
        <v>20</v>
      </c>
      <c r="P14" s="5" t="n">
        <v>24</v>
      </c>
      <c r="Q14" s="5" t="n">
        <v>22</v>
      </c>
      <c r="R14" s="5" t="n">
        <v>18</v>
      </c>
      <c r="S14" s="5" t="n">
        <v>22</v>
      </c>
      <c r="T14" s="5" t="n">
        <v>18</v>
      </c>
      <c r="U14" s="5" t="n">
        <v>50</v>
      </c>
      <c r="V14" s="5" t="n">
        <v>50</v>
      </c>
      <c r="W14" s="5" t="n">
        <v>50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0" activeCellId="0" sqref="G20"/>
    </sheetView>
  </sheetViews>
  <sheetFormatPr defaultColWidth="12.6328125" defaultRowHeight="15.75" zeroHeight="false" outlineLevelRow="0" outlineLevelCol="0"/>
  <cols>
    <col collapsed="false" customWidth="true" hidden="false" outlineLevel="0" max="1" min="1" style="1" width="20.51"/>
    <col collapsed="false" customWidth="true" hidden="false" outlineLevel="0" max="2" min="2" style="1" width="17.38"/>
    <col collapsed="false" customWidth="true" hidden="false" outlineLevel="0" max="3" min="3" style="1" width="17.75"/>
    <col collapsed="false" customWidth="true" hidden="false" outlineLevel="0" max="4" min="4" style="1" width="17.25"/>
    <col collapsed="false" customWidth="true" hidden="false" outlineLevel="0" max="5" min="5" style="1" width="18.13"/>
    <col collapsed="false" customWidth="true" hidden="false" outlineLevel="0" max="6" min="6" style="1" width="18.5"/>
    <col collapsed="false" customWidth="true" hidden="false" outlineLevel="0" max="7" min="7" style="1" width="25.63"/>
    <col collapsed="false" customWidth="true" hidden="false" outlineLevel="0" max="16" min="9" style="1" width="2.75"/>
    <col collapsed="false" customWidth="true" hidden="false" outlineLevel="0" max="17" min="17" style="1" width="2.25"/>
  </cols>
  <sheetData>
    <row r="1" customFormat="false" ht="15.75" hidden="false" customHeight="false" outlineLevel="0" collapsed="false">
      <c r="B1" s="2"/>
    </row>
    <row r="2" customFormat="false" ht="15.75" hidden="false" customHeight="false" outlineLevel="0" collapsed="false">
      <c r="B2" s="2" t="s">
        <v>59</v>
      </c>
    </row>
    <row r="3" customFormat="false" ht="15.75" hidden="false" customHeight="false" outlineLevel="0" collapsed="false">
      <c r="A3" s="6"/>
      <c r="B3" s="6" t="s">
        <v>60</v>
      </c>
      <c r="C3" s="6"/>
      <c r="D3" s="6"/>
      <c r="E3" s="6"/>
      <c r="F3" s="6"/>
      <c r="G3" s="6"/>
      <c r="H3" s="6"/>
    </row>
    <row r="4" customFormat="false" ht="15.75" hidden="false" customHeight="false" outlineLevel="0" collapsed="false">
      <c r="A4" s="2"/>
      <c r="B4" s="2"/>
      <c r="C4" s="2"/>
      <c r="D4" s="2"/>
      <c r="E4" s="2"/>
      <c r="F4" s="2"/>
      <c r="G4" s="2"/>
      <c r="H4" s="2"/>
    </row>
    <row r="5" customFormat="false" ht="22.5" hidden="false" customHeight="true" outlineLevel="0" collapsed="false">
      <c r="A5" s="3" t="s">
        <v>1</v>
      </c>
      <c r="B5" s="3" t="s">
        <v>61</v>
      </c>
      <c r="C5" s="3" t="s">
        <v>62</v>
      </c>
      <c r="D5" s="3" t="s">
        <v>63</v>
      </c>
      <c r="E5" s="3" t="s">
        <v>64</v>
      </c>
      <c r="F5" s="3" t="s">
        <v>65</v>
      </c>
      <c r="G5" s="3" t="s">
        <v>66</v>
      </c>
      <c r="H5" s="3" t="s">
        <v>67</v>
      </c>
    </row>
    <row r="6" customFormat="false" ht="13.5" hidden="false" customHeight="true" outlineLevel="0" collapsed="false">
      <c r="A6" s="7" t="n">
        <v>-1</v>
      </c>
      <c r="B6" s="7" t="n">
        <v>61</v>
      </c>
      <c r="C6" s="7" t="n">
        <v>75</v>
      </c>
      <c r="D6" s="7" t="n">
        <f aca="false">AVERAGE(B6:C6)</f>
        <v>68</v>
      </c>
      <c r="E6" s="7" t="n">
        <f aca="false">ROUND(F6*H6,0)</f>
        <v>65</v>
      </c>
      <c r="F6" s="7" t="n">
        <f aca="false">ROUND(F7 * 0.9,0)</f>
        <v>81</v>
      </c>
      <c r="G6" s="7" t="n">
        <f aca="false">AVERAGE(E6:F6)</f>
        <v>73</v>
      </c>
      <c r="H6" s="7" t="n">
        <v>0.8</v>
      </c>
    </row>
    <row r="7" customFormat="false" ht="13.5" hidden="false" customHeight="true" outlineLevel="0" collapsed="false">
      <c r="A7" s="7" t="n">
        <v>0</v>
      </c>
      <c r="B7" s="7" t="n">
        <v>65</v>
      </c>
      <c r="C7" s="7" t="n">
        <v>80</v>
      </c>
      <c r="D7" s="7" t="n">
        <f aca="false">AVERAGE(B7:C7)</f>
        <v>72.5</v>
      </c>
      <c r="E7" s="7" t="n">
        <f aca="false">ROUND(F7*H7,0)</f>
        <v>72</v>
      </c>
      <c r="F7" s="7" t="n">
        <v>90</v>
      </c>
      <c r="G7" s="7" t="n">
        <f aca="false">AVERAGE(E7:F7)</f>
        <v>81</v>
      </c>
      <c r="H7" s="7" t="n">
        <v>0.8</v>
      </c>
    </row>
    <row r="8" customFormat="false" ht="13.5" hidden="false" customHeight="true" outlineLevel="0" collapsed="false">
      <c r="A8" s="7" t="n">
        <v>1</v>
      </c>
      <c r="B8" s="7" t="n">
        <v>73</v>
      </c>
      <c r="C8" s="7" t="n">
        <v>90</v>
      </c>
      <c r="D8" s="7" t="n">
        <f aca="false">AVERAGE(B8:C8)</f>
        <v>81.5</v>
      </c>
      <c r="E8" s="7" t="n">
        <f aca="false">ROUND(F8*H8,0)</f>
        <v>79</v>
      </c>
      <c r="F8" s="7" t="n">
        <f aca="false">ROUND(F7*1.1,0)</f>
        <v>99</v>
      </c>
      <c r="G8" s="7" t="n">
        <f aca="false">AVERAGE(E8:F8)</f>
        <v>89</v>
      </c>
      <c r="H8" s="7" t="n">
        <v>0.8</v>
      </c>
      <c r="I8" s="8"/>
      <c r="J8" s="2"/>
    </row>
    <row r="9" customFormat="false" ht="13.5" hidden="false" customHeight="true" outlineLevel="0" collapsed="false">
      <c r="A9" s="7" t="n">
        <v>2</v>
      </c>
      <c r="B9" s="7" t="n">
        <v>82</v>
      </c>
      <c r="C9" s="7" t="n">
        <v>101</v>
      </c>
      <c r="D9" s="7" t="n">
        <f aca="false">AVERAGE(B9:C9)</f>
        <v>91.5</v>
      </c>
      <c r="E9" s="7" t="n">
        <f aca="false">ROUND(F9*H9,0)</f>
        <v>87</v>
      </c>
      <c r="F9" s="7" t="n">
        <f aca="false">ROUND(F8*1.1,0)</f>
        <v>109</v>
      </c>
      <c r="G9" s="7" t="n">
        <f aca="false">AVERAGE(E9:F9)</f>
        <v>98</v>
      </c>
      <c r="H9" s="7" t="n">
        <v>0.8</v>
      </c>
      <c r="I9" s="2"/>
    </row>
    <row r="10" customFormat="false" ht="13.5" hidden="false" customHeight="true" outlineLevel="0" collapsed="false">
      <c r="A10" s="7" t="n">
        <v>3</v>
      </c>
      <c r="B10" s="7" t="n">
        <v>92</v>
      </c>
      <c r="C10" s="7" t="n">
        <v>113</v>
      </c>
      <c r="D10" s="7" t="n">
        <f aca="false">AVERAGE(B10:C10)</f>
        <v>102.5</v>
      </c>
      <c r="E10" s="7" t="n">
        <f aca="false">ROUND(F10*H10,0)</f>
        <v>96</v>
      </c>
      <c r="F10" s="7" t="n">
        <f aca="false">ROUND(F9*1.1,0)</f>
        <v>120</v>
      </c>
      <c r="G10" s="7" t="n">
        <f aca="false">AVERAGE(E10:F10)</f>
        <v>108</v>
      </c>
      <c r="H10" s="7" t="n">
        <v>0.8</v>
      </c>
    </row>
    <row r="11" customFormat="false" ht="13.5" hidden="false" customHeight="true" outlineLevel="0" collapsed="false">
      <c r="A11" s="7" t="n">
        <v>4</v>
      </c>
      <c r="B11" s="7" t="n">
        <v>103</v>
      </c>
      <c r="C11" s="7" t="n">
        <v>127</v>
      </c>
      <c r="D11" s="7" t="n">
        <f aca="false">AVERAGE(B11:C11)</f>
        <v>115</v>
      </c>
      <c r="E11" s="7" t="n">
        <f aca="false">ROUND(F11*H11,0)</f>
        <v>106</v>
      </c>
      <c r="F11" s="7" t="n">
        <f aca="false">ROUND(F10*1.1,0)</f>
        <v>132</v>
      </c>
      <c r="G11" s="7" t="n">
        <f aca="false">AVERAGE(E11:F11)</f>
        <v>119</v>
      </c>
      <c r="H11" s="7" t="n">
        <v>0.8</v>
      </c>
      <c r="I11" s="9"/>
      <c r="J11" s="9"/>
      <c r="K11" s="9"/>
      <c r="L11" s="9"/>
      <c r="M11" s="9"/>
    </row>
    <row r="12" customFormat="false" ht="13.5" hidden="false" customHeight="true" outlineLevel="0" collapsed="false">
      <c r="A12" s="7" t="n">
        <v>5</v>
      </c>
      <c r="B12" s="7" t="n">
        <v>115</v>
      </c>
      <c r="C12" s="7" t="n">
        <v>142</v>
      </c>
      <c r="D12" s="7" t="n">
        <f aca="false">AVERAGE(B12:C12)</f>
        <v>128.5</v>
      </c>
      <c r="E12" s="7" t="n">
        <f aca="false">ROUND(F12*H12,0)</f>
        <v>116</v>
      </c>
      <c r="F12" s="7" t="n">
        <f aca="false">ROUND(F11*1.1,0)</f>
        <v>145</v>
      </c>
      <c r="G12" s="7" t="n">
        <f aca="false">AVERAGE(E12:F12)</f>
        <v>130.5</v>
      </c>
      <c r="H12" s="7" t="n">
        <v>0.8</v>
      </c>
    </row>
    <row r="13" customFormat="false" ht="15.75" hidden="false" customHeight="false" outlineLevel="0" collapsed="false">
      <c r="K13" s="10"/>
    </row>
    <row r="14" customFormat="false" ht="15.75" hidden="false" customHeight="false" outlineLevel="0" collapsed="false">
      <c r="K14" s="10"/>
    </row>
    <row r="15" customFormat="false" ht="15.75" hidden="false" customHeight="false" outlineLevel="0" collapsed="false">
      <c r="A15" s="6" t="s">
        <v>68</v>
      </c>
      <c r="B15" s="6"/>
      <c r="C15" s="6"/>
      <c r="K15" s="10"/>
    </row>
    <row r="16" customFormat="false" ht="15.75" hidden="false" customHeight="false" outlineLevel="0" collapsed="false">
      <c r="A16" s="6" t="s">
        <v>69</v>
      </c>
      <c r="B16" s="6" t="s">
        <v>70</v>
      </c>
      <c r="C16" s="6" t="s">
        <v>71</v>
      </c>
      <c r="K16" s="10"/>
    </row>
    <row r="17" customFormat="false" ht="15.75" hidden="false" customHeight="false" outlineLevel="0" collapsed="false">
      <c r="A17" s="6" t="s">
        <v>72</v>
      </c>
      <c r="B17" s="11" t="s">
        <v>73</v>
      </c>
      <c r="C17" s="11" t="s">
        <v>74</v>
      </c>
      <c r="K17" s="10"/>
    </row>
    <row r="18" customFormat="false" ht="15.75" hidden="false" customHeight="false" outlineLevel="0" collapsed="false">
      <c r="K18" s="10"/>
    </row>
    <row r="20" customFormat="false" ht="15.75" hidden="false" customHeight="false" outlineLevel="0" collapsed="false">
      <c r="A20" s="2" t="s">
        <v>75</v>
      </c>
    </row>
    <row r="21" customFormat="false" ht="15.75" hidden="false" customHeight="false" outlineLevel="0" collapsed="false">
      <c r="A21" s="2" t="s">
        <v>76</v>
      </c>
      <c r="B21" s="2" t="s">
        <v>77</v>
      </c>
      <c r="C21" s="2" t="s">
        <v>78</v>
      </c>
      <c r="D21" s="2" t="s">
        <v>79</v>
      </c>
    </row>
    <row r="22" customFormat="false" ht="15.75" hidden="false" customHeight="false" outlineLevel="0" collapsed="false">
      <c r="A22" s="2" t="s">
        <v>2</v>
      </c>
      <c r="B22" s="2" t="s">
        <v>3</v>
      </c>
      <c r="C22" s="2" t="s">
        <v>35</v>
      </c>
      <c r="D22" s="2" t="s">
        <v>80</v>
      </c>
    </row>
  </sheetData>
  <mergeCells count="3">
    <mergeCell ref="B3:G3"/>
    <mergeCell ref="I11:M11"/>
    <mergeCell ref="A15:C15"/>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7" activeCellId="0" sqref="F7"/>
    </sheetView>
  </sheetViews>
  <sheetFormatPr defaultColWidth="12.6328125" defaultRowHeight="15.75" zeroHeight="false" outlineLevelRow="0" outlineLevelCol="0"/>
  <cols>
    <col collapsed="false" customWidth="true" hidden="false" outlineLevel="0" max="2" min="1" style="1" width="20.51"/>
    <col collapsed="false" customWidth="true" hidden="false" outlineLevel="0" max="3" min="3" style="1" width="17.75"/>
    <col collapsed="false" customWidth="true" hidden="false" outlineLevel="0" max="4" min="4" style="1" width="17.25"/>
    <col collapsed="false" customWidth="true" hidden="false" outlineLevel="0" max="5" min="5" style="1" width="18.13"/>
    <col collapsed="false" customWidth="true" hidden="false" outlineLevel="0" max="6" min="6" style="1" width="18.5"/>
    <col collapsed="false" customWidth="true" hidden="false" outlineLevel="0" max="7" min="7" style="1" width="25.63"/>
    <col collapsed="false" customWidth="true" hidden="false" outlineLevel="0" max="10" min="10" style="1" width="28.88"/>
    <col collapsed="false" customWidth="true" hidden="false" outlineLevel="0" max="11" min="11" style="1" width="16.25"/>
    <col collapsed="false" customWidth="true" hidden="false" outlineLevel="0" max="12" min="12" style="1" width="2.75"/>
    <col collapsed="false" customWidth="true" hidden="false" outlineLevel="0" max="13" min="13" style="1" width="2.5"/>
    <col collapsed="false" customWidth="true" hidden="false" outlineLevel="0" max="14" min="14" style="1" width="2.63"/>
    <col collapsed="false" customWidth="true" hidden="false" outlineLevel="0" max="16" min="15" style="1" width="3.13"/>
  </cols>
  <sheetData>
    <row r="2" customFormat="false" ht="15.75" hidden="false" customHeight="false" outlineLevel="0" collapsed="false">
      <c r="B2" s="2" t="s">
        <v>59</v>
      </c>
    </row>
    <row r="3" customFormat="false" ht="15.75" hidden="false" customHeight="false" outlineLevel="0" collapsed="false">
      <c r="A3" s="6"/>
      <c r="B3" s="6" t="s">
        <v>60</v>
      </c>
      <c r="C3" s="6"/>
      <c r="D3" s="6"/>
      <c r="E3" s="6"/>
      <c r="F3" s="6"/>
      <c r="G3" s="6"/>
      <c r="H3" s="6"/>
    </row>
    <row r="4" customFormat="false" ht="15.75" hidden="false" customHeight="false" outlineLevel="0" collapsed="false">
      <c r="A4" s="2"/>
      <c r="B4" s="2"/>
      <c r="C4" s="2"/>
      <c r="D4" s="2"/>
      <c r="E4" s="2"/>
      <c r="F4" s="2"/>
      <c r="G4" s="2"/>
      <c r="H4" s="2"/>
    </row>
    <row r="5" customFormat="false" ht="22.5" hidden="false" customHeight="true" outlineLevel="0" collapsed="false">
      <c r="A5" s="3" t="s">
        <v>1</v>
      </c>
      <c r="B5" s="3" t="s">
        <v>61</v>
      </c>
      <c r="C5" s="3" t="s">
        <v>62</v>
      </c>
      <c r="D5" s="3" t="s">
        <v>63</v>
      </c>
      <c r="E5" s="3" t="s">
        <v>64</v>
      </c>
      <c r="F5" s="3" t="s">
        <v>65</v>
      </c>
      <c r="G5" s="3" t="s">
        <v>66</v>
      </c>
      <c r="H5" s="3" t="s">
        <v>67</v>
      </c>
    </row>
    <row r="6" customFormat="false" ht="22.5" hidden="false" customHeight="true" outlineLevel="0" collapsed="false">
      <c r="A6" s="7" t="n">
        <v>-1</v>
      </c>
      <c r="B6" s="7" t="n">
        <v>117</v>
      </c>
      <c r="C6" s="7" t="n">
        <v>136</v>
      </c>
      <c r="D6" s="7" t="n">
        <f aca="false">AVERAGE(B6:C6)</f>
        <v>126.5</v>
      </c>
      <c r="E6" s="7" t="n">
        <f aca="false">ROUND(F6*H6,0)</f>
        <v>115</v>
      </c>
      <c r="F6" s="7" t="n">
        <f aca="false">ROUND(F7 * 0.9,0)</f>
        <v>144</v>
      </c>
      <c r="G6" s="7" t="n">
        <f aca="false">AVERAGE(E6:F6)</f>
        <v>129.5</v>
      </c>
      <c r="H6" s="7" t="n">
        <v>0.8</v>
      </c>
    </row>
    <row r="7" customFormat="false" ht="22.5" hidden="false" customHeight="true" outlineLevel="0" collapsed="false">
      <c r="A7" s="7" t="n">
        <v>0</v>
      </c>
      <c r="B7" s="7" t="n">
        <v>124</v>
      </c>
      <c r="C7" s="7" t="n">
        <v>144</v>
      </c>
      <c r="D7" s="7" t="n">
        <f aca="false">AVERAGE(B7:C7)</f>
        <v>134</v>
      </c>
      <c r="E7" s="7" t="n">
        <f aca="false">ROUND(F7*H7,0)</f>
        <v>128</v>
      </c>
      <c r="F7" s="7" t="n">
        <v>160</v>
      </c>
      <c r="G7" s="7" t="n">
        <f aca="false">AVERAGE(E7:F7)</f>
        <v>144</v>
      </c>
      <c r="H7" s="7" t="n">
        <v>0.8</v>
      </c>
    </row>
    <row r="8" customFormat="false" ht="22.5" hidden="false" customHeight="true" outlineLevel="0" collapsed="false">
      <c r="A8" s="7" t="n">
        <v>1</v>
      </c>
      <c r="B8" s="7" t="n">
        <v>139</v>
      </c>
      <c r="C8" s="7" t="n">
        <v>161</v>
      </c>
      <c r="D8" s="7" t="n">
        <f aca="false">AVERAGE(B8:C8)</f>
        <v>150</v>
      </c>
      <c r="E8" s="7" t="n">
        <f aca="false">ROUND(F8*H8,0)</f>
        <v>141</v>
      </c>
      <c r="F8" s="7" t="n">
        <f aca="false">ROUND(F7*1.1,0)</f>
        <v>176</v>
      </c>
      <c r="G8" s="7" t="n">
        <f aca="false">AVERAGE(E8:F8)</f>
        <v>158.5</v>
      </c>
      <c r="H8" s="7" t="n">
        <v>0.8</v>
      </c>
      <c r="K8" s="8"/>
      <c r="L8" s="2"/>
    </row>
    <row r="9" customFormat="false" ht="22.5" hidden="false" customHeight="true" outlineLevel="0" collapsed="false">
      <c r="A9" s="7" t="n">
        <v>2</v>
      </c>
      <c r="B9" s="7" t="n">
        <v>156</v>
      </c>
      <c r="C9" s="7" t="n">
        <v>180</v>
      </c>
      <c r="D9" s="7" t="n">
        <f aca="false">AVERAGE(B9:C9)</f>
        <v>168</v>
      </c>
      <c r="E9" s="7" t="n">
        <f aca="false">ROUND(F9*H9,0)</f>
        <v>155</v>
      </c>
      <c r="F9" s="7" t="n">
        <f aca="false">ROUND(F8*1.1,0)</f>
        <v>194</v>
      </c>
      <c r="G9" s="7" t="n">
        <f aca="false">AVERAGE(E9:F9)</f>
        <v>174.5</v>
      </c>
      <c r="H9" s="7" t="n">
        <v>0.8</v>
      </c>
      <c r="K9" s="8"/>
    </row>
    <row r="10" customFormat="false" ht="16.5" hidden="false" customHeight="true" outlineLevel="0" collapsed="false">
      <c r="A10" s="7" t="n">
        <v>3</v>
      </c>
      <c r="B10" s="7" t="n">
        <v>175</v>
      </c>
      <c r="C10" s="7" t="n">
        <v>202</v>
      </c>
      <c r="D10" s="7" t="n">
        <f aca="false">AVERAGE(B10:C10)</f>
        <v>188.5</v>
      </c>
      <c r="E10" s="7" t="n">
        <f aca="false">ROUND(F10*H10,0)</f>
        <v>170</v>
      </c>
      <c r="F10" s="7" t="n">
        <f aca="false">ROUND(F9*1.1,0)</f>
        <v>213</v>
      </c>
      <c r="G10" s="7" t="n">
        <f aca="false">AVERAGE(E10:F10)</f>
        <v>191.5</v>
      </c>
      <c r="H10" s="7" t="n">
        <v>0.8</v>
      </c>
      <c r="K10" s="12"/>
      <c r="L10" s="9"/>
      <c r="M10" s="9"/>
      <c r="N10" s="9"/>
      <c r="O10" s="9"/>
      <c r="P10" s="9"/>
    </row>
    <row r="11" customFormat="false" ht="22.5" hidden="false" customHeight="true" outlineLevel="0" collapsed="false">
      <c r="A11" s="7" t="n">
        <v>4</v>
      </c>
      <c r="B11" s="7" t="n">
        <v>196</v>
      </c>
      <c r="C11" s="7" t="n">
        <v>226</v>
      </c>
      <c r="D11" s="7" t="n">
        <f aca="false">AVERAGE(B11:C11)</f>
        <v>211</v>
      </c>
      <c r="E11" s="7" t="n">
        <f aca="false">ROUND(F11*H11,0)</f>
        <v>187</v>
      </c>
      <c r="F11" s="7" t="n">
        <f aca="false">ROUND(F10*1.1,0)</f>
        <v>234</v>
      </c>
      <c r="G11" s="7" t="n">
        <f aca="false">AVERAGE(E11:F11)</f>
        <v>210.5</v>
      </c>
      <c r="H11" s="7" t="n">
        <v>0.8</v>
      </c>
    </row>
    <row r="12" customFormat="false" ht="22.5" hidden="false" customHeight="true" outlineLevel="0" collapsed="false">
      <c r="A12" s="7" t="n">
        <v>5</v>
      </c>
      <c r="B12" s="7" t="n">
        <v>220</v>
      </c>
      <c r="C12" s="7" t="n">
        <v>253</v>
      </c>
      <c r="D12" s="7" t="n">
        <f aca="false">AVERAGE(B12:C12)</f>
        <v>236.5</v>
      </c>
      <c r="E12" s="7" t="n">
        <f aca="false">ROUND(F12*H12,0)</f>
        <v>206</v>
      </c>
      <c r="F12" s="7" t="n">
        <f aca="false">ROUND(F11*1.1,0)</f>
        <v>257</v>
      </c>
      <c r="G12" s="7" t="n">
        <f aca="false">AVERAGE(E12:F12)</f>
        <v>231.5</v>
      </c>
      <c r="H12" s="7" t="n">
        <v>0.8</v>
      </c>
      <c r="M12" s="10"/>
      <c r="N12" s="10"/>
      <c r="O12" s="10"/>
    </row>
    <row r="13" customFormat="false" ht="15.75" hidden="false" customHeight="false" outlineLevel="0" collapsed="false">
      <c r="M13" s="10"/>
      <c r="N13" s="10"/>
      <c r="O13" s="10"/>
    </row>
    <row r="14" customFormat="false" ht="15.75" hidden="false" customHeight="false" outlineLevel="0" collapsed="false">
      <c r="M14" s="10"/>
      <c r="N14" s="10"/>
      <c r="O14" s="10"/>
    </row>
    <row r="16" customFormat="false" ht="15.75" hidden="false" customHeight="false" outlineLevel="0" collapsed="false">
      <c r="A16" s="6" t="s">
        <v>68</v>
      </c>
      <c r="B16" s="6"/>
      <c r="C16" s="6"/>
    </row>
    <row r="17" customFormat="false" ht="15.75" hidden="false" customHeight="false" outlineLevel="0" collapsed="false">
      <c r="A17" s="6" t="s">
        <v>69</v>
      </c>
      <c r="B17" s="6" t="s">
        <v>70</v>
      </c>
      <c r="C17" s="6" t="s">
        <v>71</v>
      </c>
    </row>
    <row r="18" customFormat="false" ht="15.75" hidden="false" customHeight="false" outlineLevel="0" collapsed="false">
      <c r="A18" s="11" t="s">
        <v>81</v>
      </c>
      <c r="B18" s="6" t="s">
        <v>82</v>
      </c>
      <c r="C18" s="11" t="s">
        <v>83</v>
      </c>
    </row>
    <row r="20" customFormat="false" ht="15.75" hidden="false" customHeight="false" outlineLevel="0" collapsed="false">
      <c r="A20" s="2" t="s">
        <v>84</v>
      </c>
    </row>
    <row r="21" customFormat="false" ht="15.75" hidden="false" customHeight="false" outlineLevel="0" collapsed="false">
      <c r="A21" s="2" t="s">
        <v>76</v>
      </c>
      <c r="B21" s="2" t="s">
        <v>77</v>
      </c>
      <c r="C21" s="2" t="s">
        <v>78</v>
      </c>
      <c r="D21" s="2" t="s">
        <v>79</v>
      </c>
    </row>
    <row r="22" customFormat="false" ht="15.75" hidden="false" customHeight="false" outlineLevel="0" collapsed="false">
      <c r="A22" s="2" t="s">
        <v>6</v>
      </c>
      <c r="B22" s="2" t="s">
        <v>18</v>
      </c>
      <c r="C22" s="2" t="s">
        <v>14</v>
      </c>
      <c r="D22" s="2" t="s">
        <v>10</v>
      </c>
    </row>
  </sheetData>
  <mergeCells count="3">
    <mergeCell ref="B3:G3"/>
    <mergeCell ref="L10:P10"/>
    <mergeCell ref="A16:C16"/>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7" activeCellId="0" sqref="E7"/>
    </sheetView>
  </sheetViews>
  <sheetFormatPr defaultColWidth="12.6328125" defaultRowHeight="15.75" zeroHeight="false" outlineLevelRow="0" outlineLevelCol="0"/>
  <cols>
    <col collapsed="false" customWidth="true" hidden="false" outlineLevel="0" max="1" min="1" style="1" width="22.88"/>
    <col collapsed="false" customWidth="true" hidden="false" outlineLevel="0" max="2" min="2" style="1" width="17.38"/>
    <col collapsed="false" customWidth="true" hidden="false" outlineLevel="0" max="3" min="3" style="1" width="17.75"/>
    <col collapsed="false" customWidth="true" hidden="false" outlineLevel="0" max="4" min="4" style="1" width="17.25"/>
    <col collapsed="false" customWidth="true" hidden="false" outlineLevel="0" max="5" min="5" style="1" width="18.13"/>
    <col collapsed="false" customWidth="true" hidden="false" outlineLevel="0" max="6" min="6" style="1" width="18.5"/>
    <col collapsed="false" customWidth="true" hidden="false" outlineLevel="0" max="7" min="7" style="1" width="25.63"/>
    <col collapsed="false" customWidth="true" hidden="false" outlineLevel="0" max="9" min="9" style="1" width="24.52"/>
    <col collapsed="false" customWidth="true" hidden="false" outlineLevel="0" max="14" min="10" style="1" width="2.88"/>
    <col collapsed="false" customWidth="true" hidden="false" outlineLevel="0" max="18" min="15" style="1" width="3"/>
  </cols>
  <sheetData>
    <row r="1" customFormat="false" ht="15.75" hidden="false" customHeight="false" outlineLevel="0" collapsed="false">
      <c r="B1" s="2"/>
    </row>
    <row r="2" customFormat="false" ht="15.75" hidden="false" customHeight="false" outlineLevel="0" collapsed="false">
      <c r="B2" s="2" t="s">
        <v>59</v>
      </c>
    </row>
    <row r="3" customFormat="false" ht="15.75" hidden="false" customHeight="false" outlineLevel="0" collapsed="false">
      <c r="A3" s="6"/>
      <c r="B3" s="6" t="s">
        <v>60</v>
      </c>
      <c r="C3" s="6"/>
      <c r="D3" s="6"/>
      <c r="E3" s="6"/>
      <c r="F3" s="6"/>
      <c r="G3" s="6"/>
      <c r="H3" s="6"/>
    </row>
    <row r="4" customFormat="false" ht="15.75" hidden="false" customHeight="false" outlineLevel="0" collapsed="false">
      <c r="A4" s="2"/>
      <c r="B4" s="2"/>
      <c r="C4" s="2"/>
      <c r="D4" s="2"/>
      <c r="E4" s="2"/>
      <c r="F4" s="2"/>
      <c r="G4" s="2"/>
      <c r="H4" s="2"/>
    </row>
    <row r="5" customFormat="false" ht="22.5" hidden="false" customHeight="true" outlineLevel="0" collapsed="false">
      <c r="A5" s="3" t="s">
        <v>1</v>
      </c>
      <c r="B5" s="3" t="s">
        <v>61</v>
      </c>
      <c r="C5" s="3" t="s">
        <v>62</v>
      </c>
      <c r="D5" s="3" t="s">
        <v>63</v>
      </c>
      <c r="E5" s="3" t="s">
        <v>64</v>
      </c>
      <c r="F5" s="3" t="s">
        <v>65</v>
      </c>
      <c r="G5" s="3" t="s">
        <v>66</v>
      </c>
      <c r="H5" s="3" t="s">
        <v>67</v>
      </c>
    </row>
    <row r="6" customFormat="false" ht="22.5" hidden="false" customHeight="true" outlineLevel="0" collapsed="false">
      <c r="A6" s="7" t="n">
        <v>-1</v>
      </c>
      <c r="B6" s="7" t="n">
        <v>66</v>
      </c>
      <c r="C6" s="7" t="n">
        <v>98</v>
      </c>
      <c r="D6" s="7" t="n">
        <f aca="false">AVERAGE(B6:C6)</f>
        <v>82</v>
      </c>
      <c r="E6" s="7" t="n">
        <f aca="false">ROUND(F6*H6,0)</f>
        <v>64</v>
      </c>
      <c r="F6" s="7" t="n">
        <f aca="false">ROUND(F7 * 0.9,0)</f>
        <v>99</v>
      </c>
      <c r="G6" s="7" t="n">
        <f aca="false">AVERAGE(E6:F6)</f>
        <v>81.5</v>
      </c>
      <c r="H6" s="7" t="n">
        <v>0.65</v>
      </c>
    </row>
    <row r="7" customFormat="false" ht="22.5" hidden="false" customHeight="true" outlineLevel="0" collapsed="false">
      <c r="A7" s="7" t="n">
        <v>0</v>
      </c>
      <c r="B7" s="7" t="n">
        <v>69</v>
      </c>
      <c r="C7" s="7" t="n">
        <v>105</v>
      </c>
      <c r="D7" s="7" t="n">
        <f aca="false">AVERAGE(B7:C7)</f>
        <v>87</v>
      </c>
      <c r="E7" s="7" t="n">
        <f aca="false">ROUND(F7*H7,0)</f>
        <v>72</v>
      </c>
      <c r="F7" s="7" t="n">
        <v>110</v>
      </c>
      <c r="G7" s="7" t="n">
        <f aca="false">AVERAGE(E7:F7)</f>
        <v>91</v>
      </c>
      <c r="H7" s="7" t="n">
        <v>0.65</v>
      </c>
    </row>
    <row r="8" customFormat="false" ht="22.5" hidden="false" customHeight="true" outlineLevel="0" collapsed="false">
      <c r="A8" s="7" t="n">
        <v>1</v>
      </c>
      <c r="B8" s="7" t="n">
        <v>75</v>
      </c>
      <c r="C8" s="7" t="n">
        <v>120</v>
      </c>
      <c r="D8" s="7" t="n">
        <f aca="false">AVERAGE(B8:C8)</f>
        <v>97.5</v>
      </c>
      <c r="E8" s="7" t="n">
        <f aca="false">ROUND(F8*H8,0)</f>
        <v>79</v>
      </c>
      <c r="F8" s="7" t="n">
        <f aca="false">ROUND(F7*1.1,0)</f>
        <v>121</v>
      </c>
      <c r="G8" s="7" t="n">
        <f aca="false">AVERAGE(E8:F8)</f>
        <v>100</v>
      </c>
      <c r="H8" s="7" t="n">
        <v>0.65</v>
      </c>
    </row>
    <row r="9" customFormat="false" ht="15" hidden="false" customHeight="true" outlineLevel="0" collapsed="false">
      <c r="A9" s="7" t="n">
        <v>2</v>
      </c>
      <c r="B9" s="7" t="n">
        <v>81</v>
      </c>
      <c r="C9" s="7" t="n">
        <v>137</v>
      </c>
      <c r="D9" s="7" t="n">
        <f aca="false">AVERAGE(B9:C9)</f>
        <v>109</v>
      </c>
      <c r="E9" s="7" t="n">
        <f aca="false">ROUND(F9*H9,0)</f>
        <v>86</v>
      </c>
      <c r="F9" s="7" t="n">
        <f aca="false">ROUND(F8*1.1,0)</f>
        <v>133</v>
      </c>
      <c r="G9" s="7" t="n">
        <f aca="false">AVERAGE(E9:F9)</f>
        <v>109.5</v>
      </c>
      <c r="H9" s="7" t="n">
        <v>0.65</v>
      </c>
      <c r="J9" s="2"/>
    </row>
    <row r="10" customFormat="false" ht="22.5" hidden="false" customHeight="true" outlineLevel="0" collapsed="false">
      <c r="A10" s="7" t="n">
        <v>3</v>
      </c>
      <c r="B10" s="7" t="n">
        <v>87</v>
      </c>
      <c r="C10" s="7" t="n">
        <v>156</v>
      </c>
      <c r="D10" s="7" t="n">
        <f aca="false">AVERAGE(B10:C10)</f>
        <v>121.5</v>
      </c>
      <c r="E10" s="7" t="n">
        <f aca="false">ROUND(F10*H10,0)</f>
        <v>95</v>
      </c>
      <c r="F10" s="7" t="n">
        <f aca="false">ROUND(F9*1.1,0)</f>
        <v>146</v>
      </c>
      <c r="G10" s="7" t="n">
        <f aca="false">AVERAGE(E10:F10)</f>
        <v>120.5</v>
      </c>
      <c r="H10" s="7" t="n">
        <v>0.65</v>
      </c>
    </row>
    <row r="11" customFormat="false" ht="15" hidden="false" customHeight="true" outlineLevel="0" collapsed="false">
      <c r="A11" s="7" t="n">
        <v>4</v>
      </c>
      <c r="B11" s="7" t="n">
        <v>94</v>
      </c>
      <c r="C11" s="7" t="n">
        <v>178</v>
      </c>
      <c r="D11" s="7" t="n">
        <f aca="false">AVERAGE(B11:C11)</f>
        <v>136</v>
      </c>
      <c r="E11" s="7" t="n">
        <f aca="false">ROUND(F11*H11,0)</f>
        <v>105</v>
      </c>
      <c r="F11" s="7" t="n">
        <f aca="false">ROUND(F10*1.1,0)</f>
        <v>161</v>
      </c>
      <c r="G11" s="7" t="n">
        <f aca="false">AVERAGE(E11:F11)</f>
        <v>133</v>
      </c>
      <c r="H11" s="7" t="n">
        <v>0.65</v>
      </c>
    </row>
    <row r="12" customFormat="false" ht="21.75" hidden="false" customHeight="true" outlineLevel="0" collapsed="false">
      <c r="A12" s="7" t="n">
        <v>5</v>
      </c>
      <c r="B12" s="7" t="n">
        <v>102</v>
      </c>
      <c r="C12" s="7" t="n">
        <v>203</v>
      </c>
      <c r="D12" s="7" t="n">
        <f aca="false">AVERAGE(B12:C12)</f>
        <v>152.5</v>
      </c>
      <c r="E12" s="7" t="n">
        <f aca="false">ROUND(F12*H12,0)</f>
        <v>115</v>
      </c>
      <c r="F12" s="7" t="n">
        <f aca="false">ROUND(F11*1.1,0)</f>
        <v>177</v>
      </c>
      <c r="G12" s="7" t="n">
        <f aca="false">AVERAGE(E12:F12)</f>
        <v>146</v>
      </c>
      <c r="H12" s="7" t="n">
        <v>0.65</v>
      </c>
    </row>
    <row r="13" customFormat="false" ht="15.75" hidden="false" customHeight="false" outlineLevel="0" collapsed="false">
      <c r="A13" s="6" t="s">
        <v>68</v>
      </c>
      <c r="B13" s="6"/>
      <c r="C13" s="6"/>
    </row>
    <row r="14" customFormat="false" ht="15.75" hidden="false" customHeight="false" outlineLevel="0" collapsed="false">
      <c r="A14" s="6" t="s">
        <v>69</v>
      </c>
      <c r="B14" s="6" t="s">
        <v>70</v>
      </c>
      <c r="C14" s="6" t="s">
        <v>71</v>
      </c>
      <c r="D14" s="9"/>
      <c r="E14" s="9"/>
      <c r="F14" s="9"/>
      <c r="G14" s="9"/>
      <c r="H14" s="9"/>
    </row>
    <row r="15" customFormat="false" ht="15.75" hidden="false" customHeight="false" outlineLevel="0" collapsed="false">
      <c r="A15" s="13" t="s">
        <v>85</v>
      </c>
      <c r="B15" s="13" t="s">
        <v>86</v>
      </c>
      <c r="C15" s="13" t="s">
        <v>87</v>
      </c>
      <c r="J15" s="14" t="s">
        <v>88</v>
      </c>
      <c r="K15" s="14"/>
      <c r="L15" s="14"/>
      <c r="M15" s="14"/>
      <c r="N15" s="14"/>
    </row>
    <row r="16" customFormat="false" ht="15.75" hidden="false" customHeight="false" outlineLevel="0" collapsed="false">
      <c r="E16" s="10"/>
      <c r="F16" s="10"/>
      <c r="G16" s="10"/>
      <c r="J16" s="15"/>
      <c r="K16" s="15"/>
      <c r="L16" s="15"/>
    </row>
    <row r="17" customFormat="false" ht="15.75" hidden="false" customHeight="false" outlineLevel="0" collapsed="false">
      <c r="A17" s="2"/>
      <c r="J17" s="15"/>
      <c r="K17" s="16"/>
      <c r="L17" s="16"/>
      <c r="M17" s="10"/>
      <c r="P17" s="2"/>
      <c r="Q17" s="2"/>
    </row>
    <row r="18" customFormat="false" ht="15.75" hidden="false" customHeight="false" outlineLevel="0" collapsed="false">
      <c r="J18" s="15"/>
      <c r="K18" s="16"/>
      <c r="L18" s="15"/>
      <c r="M18" s="2"/>
      <c r="N18" s="2"/>
      <c r="P18" s="2"/>
      <c r="Q18" s="10"/>
      <c r="R18" s="10"/>
    </row>
    <row r="20" customFormat="false" ht="15.75" hidden="false" customHeight="false" outlineLevel="0" collapsed="false">
      <c r="A20" s="2" t="s">
        <v>75</v>
      </c>
    </row>
    <row r="21" customFormat="false" ht="15.75" hidden="false" customHeight="false" outlineLevel="0" collapsed="false">
      <c r="A21" s="2" t="s">
        <v>76</v>
      </c>
      <c r="B21" s="2" t="s">
        <v>77</v>
      </c>
      <c r="C21" s="2" t="s">
        <v>78</v>
      </c>
      <c r="D21" s="2" t="s">
        <v>79</v>
      </c>
    </row>
    <row r="22" customFormat="false" ht="15.75" hidden="false" customHeight="false" outlineLevel="0" collapsed="false">
      <c r="A22" s="2" t="s">
        <v>8</v>
      </c>
      <c r="B22" s="2" t="s">
        <v>9</v>
      </c>
      <c r="C22" s="2" t="s">
        <v>16</v>
      </c>
      <c r="D22" s="2" t="s">
        <v>10</v>
      </c>
    </row>
  </sheetData>
  <mergeCells count="4">
    <mergeCell ref="B3:G3"/>
    <mergeCell ref="A13:C13"/>
    <mergeCell ref="D14:H14"/>
    <mergeCell ref="J15:N15"/>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2" activeCellId="0" sqref="G12"/>
    </sheetView>
  </sheetViews>
  <sheetFormatPr defaultColWidth="12.6328125" defaultRowHeight="15.75" zeroHeight="false" outlineLevelRow="0" outlineLevelCol="0"/>
  <cols>
    <col collapsed="false" customWidth="true" hidden="false" outlineLevel="0" max="1" min="1" style="1" width="20.51"/>
    <col collapsed="false" customWidth="true" hidden="false" outlineLevel="0" max="2" min="2" style="1" width="17.38"/>
    <col collapsed="false" customWidth="true" hidden="false" outlineLevel="0" max="3" min="3" style="1" width="17.75"/>
    <col collapsed="false" customWidth="true" hidden="false" outlineLevel="0" max="4" min="4" style="1" width="21"/>
    <col collapsed="false" customWidth="true" hidden="false" outlineLevel="0" max="5" min="5" style="1" width="18.13"/>
    <col collapsed="false" customWidth="true" hidden="false" outlineLevel="0" max="6" min="6" style="1" width="18.5"/>
    <col collapsed="false" customWidth="true" hidden="false" outlineLevel="0" max="7" min="7" style="1" width="25.63"/>
    <col collapsed="false" customWidth="true" hidden="false" outlineLevel="0" max="10" min="10" style="1" width="24.52"/>
  </cols>
  <sheetData>
    <row r="1" customFormat="false" ht="15.75" hidden="false" customHeight="false" outlineLevel="0" collapsed="false">
      <c r="B1" s="2"/>
    </row>
    <row r="2" customFormat="false" ht="15.75" hidden="false" customHeight="false" outlineLevel="0" collapsed="false">
      <c r="B2" s="2" t="s">
        <v>59</v>
      </c>
    </row>
    <row r="3" customFormat="false" ht="15.75" hidden="false" customHeight="false" outlineLevel="0" collapsed="false">
      <c r="A3" s="6"/>
      <c r="B3" s="6" t="s">
        <v>60</v>
      </c>
      <c r="C3" s="6"/>
      <c r="D3" s="6"/>
      <c r="E3" s="6"/>
      <c r="F3" s="6"/>
      <c r="G3" s="6"/>
      <c r="H3" s="6"/>
    </row>
    <row r="4" customFormat="false" ht="15.75" hidden="false" customHeight="false" outlineLevel="0" collapsed="false">
      <c r="A4" s="2"/>
      <c r="B4" s="2"/>
      <c r="C4" s="2"/>
      <c r="D4" s="2"/>
      <c r="E4" s="2"/>
      <c r="F4" s="2"/>
      <c r="G4" s="2"/>
      <c r="H4" s="2"/>
    </row>
    <row r="5" customFormat="false" ht="22.5" hidden="false" customHeight="true" outlineLevel="0" collapsed="false">
      <c r="A5" s="3" t="s">
        <v>1</v>
      </c>
      <c r="B5" s="3" t="s">
        <v>61</v>
      </c>
      <c r="C5" s="3" t="s">
        <v>62</v>
      </c>
      <c r="D5" s="3" t="s">
        <v>63</v>
      </c>
      <c r="E5" s="3" t="s">
        <v>64</v>
      </c>
      <c r="F5" s="3" t="s">
        <v>65</v>
      </c>
      <c r="G5" s="3" t="s">
        <v>66</v>
      </c>
      <c r="H5" s="3" t="s">
        <v>67</v>
      </c>
    </row>
    <row r="6" customFormat="false" ht="22.5" hidden="false" customHeight="true" outlineLevel="0" collapsed="false">
      <c r="A6" s="7" t="n">
        <v>-1</v>
      </c>
      <c r="B6" s="7" t="n">
        <v>61</v>
      </c>
      <c r="C6" s="7" t="n">
        <v>79</v>
      </c>
      <c r="D6" s="7" t="n">
        <f aca="false">AVERAGE(B6:C6)</f>
        <v>70</v>
      </c>
      <c r="E6" s="7" t="n">
        <f aca="false">ROUND(F6*H6,0)</f>
        <v>81</v>
      </c>
      <c r="F6" s="7" t="n">
        <f aca="false">ROUND(F7 * 0.9,0)</f>
        <v>101</v>
      </c>
      <c r="G6" s="7" t="n">
        <f aca="false">AVERAGE(E6:F6)</f>
        <v>91</v>
      </c>
      <c r="H6" s="7" t="n">
        <v>0.8</v>
      </c>
    </row>
    <row r="7" customFormat="false" ht="22.5" hidden="false" customHeight="true" outlineLevel="0" collapsed="false">
      <c r="A7" s="7" t="n">
        <v>0</v>
      </c>
      <c r="B7" s="7" t="n">
        <v>78</v>
      </c>
      <c r="C7" s="7" t="n">
        <v>90</v>
      </c>
      <c r="D7" s="7" t="n">
        <f aca="false">AVERAGE(B7:C7)</f>
        <v>84</v>
      </c>
      <c r="E7" s="7" t="n">
        <f aca="false">ROUND(F7*H7,0)</f>
        <v>90</v>
      </c>
      <c r="F7" s="7" t="n">
        <v>112</v>
      </c>
      <c r="G7" s="7" t="n">
        <f aca="false">AVERAGE(E7:F7)</f>
        <v>101</v>
      </c>
      <c r="H7" s="7" t="n">
        <v>0.8</v>
      </c>
    </row>
    <row r="8" customFormat="false" ht="22.5" hidden="false" customHeight="true" outlineLevel="0" collapsed="false">
      <c r="A8" s="7" t="n">
        <v>1</v>
      </c>
      <c r="B8" s="7" t="n">
        <v>87</v>
      </c>
      <c r="C8" s="7" t="n">
        <v>101</v>
      </c>
      <c r="D8" s="7" t="n">
        <f aca="false">AVERAGE(B8:C8)</f>
        <v>94</v>
      </c>
      <c r="E8" s="7" t="n">
        <f aca="false">ROUND(F8*H8,0)</f>
        <v>98</v>
      </c>
      <c r="F8" s="7" t="n">
        <f aca="false">ROUND(F7*1.1,0)</f>
        <v>123</v>
      </c>
      <c r="G8" s="7" t="n">
        <f aca="false">AVERAGE(E8:F8)</f>
        <v>110.5</v>
      </c>
      <c r="H8" s="7" t="n">
        <v>0.8</v>
      </c>
    </row>
    <row r="9" customFormat="false" ht="22.5" hidden="false" customHeight="true" outlineLevel="0" collapsed="false">
      <c r="A9" s="7" t="n">
        <v>2</v>
      </c>
      <c r="B9" s="7" t="n">
        <v>97</v>
      </c>
      <c r="C9" s="7" t="n">
        <v>113</v>
      </c>
      <c r="D9" s="7" t="n">
        <f aca="false">AVERAGE(B9:C9)</f>
        <v>105</v>
      </c>
      <c r="E9" s="7" t="n">
        <f aca="false">ROUND(F9*H9,0)</f>
        <v>108</v>
      </c>
      <c r="F9" s="7" t="n">
        <f aca="false">ROUND(F8*1.1,0)</f>
        <v>135</v>
      </c>
      <c r="G9" s="7" t="n">
        <f aca="false">AVERAGE(E9:F9)</f>
        <v>121.5</v>
      </c>
      <c r="H9" s="7" t="n">
        <v>0.8</v>
      </c>
    </row>
    <row r="10" customFormat="false" ht="15" hidden="false" customHeight="true" outlineLevel="0" collapsed="false">
      <c r="A10" s="7" t="n">
        <v>3</v>
      </c>
      <c r="B10" s="7" t="n">
        <v>109</v>
      </c>
      <c r="C10" s="7" t="n">
        <v>127</v>
      </c>
      <c r="D10" s="7" t="n">
        <f aca="false">AVERAGE(B10:C10)</f>
        <v>118</v>
      </c>
      <c r="E10" s="7" t="n">
        <f aca="false">ROUND(F10*H10,0)</f>
        <v>119</v>
      </c>
      <c r="F10" s="7" t="n">
        <f aca="false">ROUND(F9*1.1,0)</f>
        <v>149</v>
      </c>
      <c r="G10" s="7" t="n">
        <f aca="false">AVERAGE(E10:F10)</f>
        <v>134</v>
      </c>
      <c r="H10" s="7" t="n">
        <v>0.8</v>
      </c>
    </row>
    <row r="11" customFormat="false" ht="19.5" hidden="false" customHeight="true" outlineLevel="0" collapsed="false">
      <c r="A11" s="7" t="n">
        <v>4</v>
      </c>
      <c r="B11" s="7" t="n">
        <v>122</v>
      </c>
      <c r="C11" s="7" t="n">
        <v>142</v>
      </c>
      <c r="D11" s="7" t="n">
        <f aca="false">AVERAGE(B11:C11)</f>
        <v>132</v>
      </c>
      <c r="E11" s="7" t="n">
        <f aca="false">ROUND(F11*H11,0)</f>
        <v>131</v>
      </c>
      <c r="F11" s="7" t="n">
        <f aca="false">ROUND(F10*1.1,0)</f>
        <v>164</v>
      </c>
      <c r="G11" s="7" t="n">
        <f aca="false">AVERAGE(E11:F11)</f>
        <v>147.5</v>
      </c>
      <c r="H11" s="7" t="n">
        <v>0.8</v>
      </c>
    </row>
    <row r="12" customFormat="false" ht="22.5" hidden="false" customHeight="true" outlineLevel="0" collapsed="false">
      <c r="A12" s="7" t="n">
        <v>5</v>
      </c>
      <c r="B12" s="7" t="n">
        <v>137</v>
      </c>
      <c r="C12" s="7" t="n">
        <v>159</v>
      </c>
      <c r="D12" s="7" t="n">
        <f aca="false">AVERAGE(B12:C12)</f>
        <v>148</v>
      </c>
      <c r="E12" s="7" t="n">
        <f aca="false">ROUND(F12*H12,0)</f>
        <v>144</v>
      </c>
      <c r="F12" s="7" t="n">
        <f aca="false">ROUND(F11*1.1,0)</f>
        <v>180</v>
      </c>
      <c r="G12" s="7" t="n">
        <f aca="false">AVERAGE(E12:F12)</f>
        <v>162</v>
      </c>
      <c r="H12" s="7" t="n">
        <v>0.8</v>
      </c>
    </row>
    <row r="15" customFormat="false" ht="15.75" hidden="false" customHeight="false" outlineLevel="0" collapsed="false">
      <c r="A15" s="6" t="s">
        <v>68</v>
      </c>
      <c r="B15" s="6"/>
      <c r="C15" s="6"/>
      <c r="D15" s="6"/>
    </row>
    <row r="16" customFormat="false" ht="15.75" hidden="false" customHeight="false" outlineLevel="0" collapsed="false">
      <c r="A16" s="6" t="s">
        <v>69</v>
      </c>
      <c r="B16" s="6" t="s">
        <v>70</v>
      </c>
      <c r="C16" s="6" t="s">
        <v>71</v>
      </c>
      <c r="D16" s="6" t="s">
        <v>89</v>
      </c>
    </row>
    <row r="17" customFormat="false" ht="15.75" hidden="false" customHeight="false" outlineLevel="0" collapsed="false">
      <c r="A17" s="13" t="s">
        <v>90</v>
      </c>
      <c r="B17" s="13" t="s">
        <v>91</v>
      </c>
      <c r="C17" s="13" t="s">
        <v>92</v>
      </c>
      <c r="D17" s="13" t="s">
        <v>93</v>
      </c>
    </row>
    <row r="20" customFormat="false" ht="15.75" hidden="false" customHeight="false" outlineLevel="0" collapsed="false">
      <c r="A20" s="2" t="s">
        <v>75</v>
      </c>
    </row>
    <row r="21" customFormat="false" ht="15.75" hidden="false" customHeight="false" outlineLevel="0" collapsed="false">
      <c r="A21" s="2" t="s">
        <v>76</v>
      </c>
      <c r="B21" s="2" t="s">
        <v>77</v>
      </c>
      <c r="C21" s="2" t="s">
        <v>78</v>
      </c>
      <c r="D21" s="2" t="s">
        <v>79</v>
      </c>
    </row>
    <row r="22" customFormat="false" ht="15.75" hidden="false" customHeight="false" outlineLevel="0" collapsed="false">
      <c r="A22" s="17" t="s">
        <v>11</v>
      </c>
      <c r="B22" s="17" t="s">
        <v>17</v>
      </c>
      <c r="C22" s="17" t="s">
        <v>35</v>
      </c>
      <c r="D22" s="17" t="s">
        <v>15</v>
      </c>
    </row>
  </sheetData>
  <mergeCells count="2">
    <mergeCell ref="B3:G3"/>
    <mergeCell ref="A15:C15"/>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7" activeCellId="0" sqref="F7"/>
    </sheetView>
  </sheetViews>
  <sheetFormatPr defaultColWidth="12.6328125" defaultRowHeight="15.75" zeroHeight="false" outlineLevelRow="0" outlineLevelCol="0"/>
  <cols>
    <col collapsed="false" customWidth="true" hidden="false" outlineLevel="0" max="1" min="1" style="1" width="20.51"/>
    <col collapsed="false" customWidth="true" hidden="false" outlineLevel="0" max="2" min="2" style="1" width="17.38"/>
    <col collapsed="false" customWidth="true" hidden="false" outlineLevel="0" max="3" min="3" style="1" width="17.75"/>
    <col collapsed="false" customWidth="true" hidden="false" outlineLevel="0" max="4" min="4" style="1" width="17.25"/>
    <col collapsed="false" customWidth="true" hidden="false" outlineLevel="0" max="5" min="5" style="1" width="18.13"/>
    <col collapsed="false" customWidth="true" hidden="false" outlineLevel="0" max="6" min="6" style="1" width="18.5"/>
    <col collapsed="false" customWidth="true" hidden="false" outlineLevel="0" max="7" min="7" style="1" width="25.63"/>
    <col collapsed="false" customWidth="true" hidden="false" outlineLevel="0" max="9" min="9" style="1" width="21.12"/>
    <col collapsed="false" customWidth="true" hidden="false" outlineLevel="0" max="10" min="10" style="1" width="24.52"/>
    <col collapsed="false" customWidth="true" hidden="false" outlineLevel="0" max="11" min="11" style="1" width="20.38"/>
  </cols>
  <sheetData>
    <row r="1" customFormat="false" ht="15.75" hidden="false" customHeight="false" outlineLevel="0" collapsed="false">
      <c r="B1" s="2"/>
    </row>
    <row r="2" customFormat="false" ht="15.75" hidden="false" customHeight="false" outlineLevel="0" collapsed="false">
      <c r="B2" s="2" t="s">
        <v>59</v>
      </c>
    </row>
    <row r="3" customFormat="false" ht="15.75" hidden="false" customHeight="false" outlineLevel="0" collapsed="false">
      <c r="A3" s="6"/>
      <c r="B3" s="6" t="s">
        <v>60</v>
      </c>
      <c r="C3" s="6"/>
      <c r="D3" s="6"/>
      <c r="E3" s="6"/>
      <c r="F3" s="6"/>
      <c r="G3" s="6"/>
      <c r="H3" s="6"/>
    </row>
    <row r="4" customFormat="false" ht="15.75" hidden="false" customHeight="false" outlineLevel="0" collapsed="false">
      <c r="A4" s="2"/>
      <c r="B4" s="2"/>
      <c r="C4" s="2"/>
      <c r="D4" s="2"/>
      <c r="E4" s="2"/>
      <c r="F4" s="2"/>
      <c r="G4" s="2"/>
      <c r="H4" s="2"/>
    </row>
    <row r="5" customFormat="false" ht="22.5" hidden="false" customHeight="true" outlineLevel="0" collapsed="false">
      <c r="A5" s="3" t="s">
        <v>1</v>
      </c>
      <c r="B5" s="3" t="s">
        <v>61</v>
      </c>
      <c r="C5" s="3" t="s">
        <v>62</v>
      </c>
      <c r="D5" s="3" t="s">
        <v>63</v>
      </c>
      <c r="E5" s="3" t="s">
        <v>64</v>
      </c>
      <c r="F5" s="3" t="s">
        <v>65</v>
      </c>
      <c r="G5" s="3" t="s">
        <v>66</v>
      </c>
      <c r="H5" s="3" t="s">
        <v>67</v>
      </c>
    </row>
    <row r="6" customFormat="false" ht="17.25" hidden="false" customHeight="true" outlineLevel="0" collapsed="false">
      <c r="A6" s="7" t="n">
        <v>-1</v>
      </c>
      <c r="B6" s="7" t="n">
        <v>105</v>
      </c>
      <c r="C6" s="7" t="n">
        <v>140</v>
      </c>
      <c r="D6" s="7" t="n">
        <f aca="false">AVERAGE(B6:C6)</f>
        <v>122.5</v>
      </c>
      <c r="E6" s="7" t="n">
        <f aca="false">ROUND(F6*H6,0)</f>
        <v>107</v>
      </c>
      <c r="F6" s="7" t="n">
        <f aca="false">ROUND(F7 * 0.9,0)</f>
        <v>164</v>
      </c>
      <c r="G6" s="7" t="n">
        <f aca="false">AVERAGE(E6:F6)</f>
        <v>135.5</v>
      </c>
      <c r="H6" s="7" t="n">
        <v>0.65</v>
      </c>
    </row>
    <row r="7" customFormat="false" ht="22.5" hidden="false" customHeight="true" outlineLevel="0" collapsed="false">
      <c r="A7" s="7" t="n">
        <v>0</v>
      </c>
      <c r="B7" s="7" t="n">
        <v>111</v>
      </c>
      <c r="C7" s="7" t="n">
        <v>149</v>
      </c>
      <c r="D7" s="7" t="n">
        <f aca="false">AVERAGE(B7:C7)</f>
        <v>130</v>
      </c>
      <c r="E7" s="7" t="n">
        <f aca="false">ROUND(F7*H7,0)</f>
        <v>118</v>
      </c>
      <c r="F7" s="7" t="n">
        <v>182</v>
      </c>
      <c r="G7" s="7" t="n">
        <f aca="false">AVERAGE(E7:F7)</f>
        <v>150</v>
      </c>
      <c r="H7" s="7" t="n">
        <v>0.65</v>
      </c>
    </row>
    <row r="8" customFormat="false" ht="14.25" hidden="false" customHeight="true" outlineLevel="0" collapsed="false">
      <c r="A8" s="7" t="n">
        <v>1</v>
      </c>
      <c r="B8" s="7" t="n">
        <v>124</v>
      </c>
      <c r="C8" s="7" t="n">
        <v>167</v>
      </c>
      <c r="D8" s="7" t="n">
        <f aca="false">AVERAGE(B8:C8)</f>
        <v>145.5</v>
      </c>
      <c r="E8" s="7" t="n">
        <f aca="false">ROUND(F8*H8,0)</f>
        <v>130</v>
      </c>
      <c r="F8" s="7" t="n">
        <f aca="false">ROUND(F7*1.1,0)</f>
        <v>200</v>
      </c>
      <c r="G8" s="7" t="n">
        <f aca="false">AVERAGE(E8:F8)</f>
        <v>165</v>
      </c>
      <c r="H8" s="7" t="n">
        <v>0.65</v>
      </c>
      <c r="L8" s="2"/>
    </row>
    <row r="9" customFormat="false" ht="22.5" hidden="false" customHeight="true" outlineLevel="0" collapsed="false">
      <c r="A9" s="7" t="n">
        <v>2</v>
      </c>
      <c r="B9" s="7" t="n">
        <v>139</v>
      </c>
      <c r="C9" s="7" t="n">
        <v>187</v>
      </c>
      <c r="D9" s="7" t="n">
        <f aca="false">AVERAGE(B9:C9)</f>
        <v>163</v>
      </c>
      <c r="E9" s="7" t="n">
        <f aca="false">ROUND(F9*H9,0)</f>
        <v>143</v>
      </c>
      <c r="F9" s="7" t="n">
        <f aca="false">ROUND(F8*1.1,0)</f>
        <v>220</v>
      </c>
      <c r="G9" s="7" t="n">
        <f aca="false">AVERAGE(E9:F9)</f>
        <v>181.5</v>
      </c>
      <c r="H9" s="7" t="n">
        <v>0.65</v>
      </c>
    </row>
    <row r="10" customFormat="false" ht="16.5" hidden="false" customHeight="true" outlineLevel="0" collapsed="false">
      <c r="A10" s="7" t="n">
        <v>3</v>
      </c>
      <c r="B10" s="7" t="n">
        <v>156</v>
      </c>
      <c r="C10" s="7" t="n">
        <v>209</v>
      </c>
      <c r="D10" s="7" t="n">
        <f aca="false">AVERAGE(B10:C10)</f>
        <v>182.5</v>
      </c>
      <c r="E10" s="7" t="n">
        <f aca="false">ROUND(F10*H10,0)</f>
        <v>157</v>
      </c>
      <c r="F10" s="7" t="n">
        <f aca="false">ROUND(F9*1.1,0)</f>
        <v>242</v>
      </c>
      <c r="G10" s="7" t="n">
        <f aca="false">AVERAGE(E10:F10)</f>
        <v>199.5</v>
      </c>
      <c r="H10" s="7" t="n">
        <v>0.65</v>
      </c>
    </row>
    <row r="11" customFormat="false" ht="16.5" hidden="false" customHeight="true" outlineLevel="0" collapsed="false">
      <c r="A11" s="7" t="n">
        <v>4</v>
      </c>
      <c r="B11" s="7" t="n">
        <v>175</v>
      </c>
      <c r="C11" s="7" t="n">
        <v>234</v>
      </c>
      <c r="D11" s="7" t="n">
        <f aca="false">AVERAGE(B11:C11)</f>
        <v>204.5</v>
      </c>
      <c r="E11" s="7" t="n">
        <f aca="false">ROUND(F11*H11,0)</f>
        <v>173</v>
      </c>
      <c r="F11" s="7" t="n">
        <f aca="false">ROUND(F10*1.1,0)</f>
        <v>266</v>
      </c>
      <c r="G11" s="7" t="n">
        <f aca="false">AVERAGE(E11:F11)</f>
        <v>219.5</v>
      </c>
      <c r="H11" s="7" t="n">
        <v>0.65</v>
      </c>
    </row>
    <row r="12" customFormat="false" ht="16.5" hidden="false" customHeight="true" outlineLevel="0" collapsed="false">
      <c r="A12" s="7" t="n">
        <v>5</v>
      </c>
      <c r="B12" s="7" t="n">
        <v>196</v>
      </c>
      <c r="C12" s="7" t="n">
        <v>292</v>
      </c>
      <c r="D12" s="7" t="n">
        <f aca="false">AVERAGE(B12:C12)</f>
        <v>244</v>
      </c>
      <c r="E12" s="7" t="n">
        <f aca="false">ROUND(F12*H12,0)</f>
        <v>190</v>
      </c>
      <c r="F12" s="7" t="n">
        <f aca="false">ROUND(F11*1.1,0)</f>
        <v>293</v>
      </c>
      <c r="G12" s="7" t="n">
        <f aca="false">AVERAGE(E12:F12)</f>
        <v>241.5</v>
      </c>
      <c r="H12" s="7" t="n">
        <v>0.65</v>
      </c>
    </row>
    <row r="13" customFormat="false" ht="16.5" hidden="false" customHeight="true" outlineLevel="0" collapsed="false"/>
    <row r="14" customFormat="false" ht="18" hidden="false" customHeight="true" outlineLevel="0" collapsed="false"/>
    <row r="15" customFormat="false" ht="15.75" hidden="false" customHeight="false" outlineLevel="0" collapsed="false">
      <c r="A15" s="2"/>
      <c r="B15" s="2"/>
      <c r="C15" s="2"/>
      <c r="D15" s="2"/>
    </row>
    <row r="16" customFormat="false" ht="15.75" hidden="false" customHeight="false" outlineLevel="0" collapsed="false">
      <c r="A16" s="6" t="s">
        <v>68</v>
      </c>
      <c r="B16" s="6"/>
      <c r="C16" s="6"/>
      <c r="D16" s="6"/>
    </row>
    <row r="17" customFormat="false" ht="15.75" hidden="false" customHeight="false" outlineLevel="0" collapsed="false">
      <c r="A17" s="6" t="s">
        <v>69</v>
      </c>
      <c r="B17" s="6" t="s">
        <v>70</v>
      </c>
      <c r="C17" s="18" t="s">
        <v>71</v>
      </c>
      <c r="D17" s="19" t="s">
        <v>94</v>
      </c>
    </row>
    <row r="18" customFormat="false" ht="15.75" hidden="false" customHeight="false" outlineLevel="0" collapsed="false">
      <c r="A18" s="13" t="s">
        <v>95</v>
      </c>
      <c r="B18" s="13" t="s">
        <v>96</v>
      </c>
      <c r="C18" s="20" t="s">
        <v>92</v>
      </c>
      <c r="D18" s="21" t="s">
        <v>97</v>
      </c>
    </row>
    <row r="20" customFormat="false" ht="15.75" hidden="false" customHeight="false" outlineLevel="0" collapsed="false">
      <c r="A20" s="2" t="s">
        <v>75</v>
      </c>
    </row>
    <row r="21" customFormat="false" ht="15.75" hidden="false" customHeight="false" outlineLevel="0" collapsed="false">
      <c r="A21" s="2" t="s">
        <v>76</v>
      </c>
      <c r="B21" s="2" t="s">
        <v>77</v>
      </c>
      <c r="C21" s="2" t="s">
        <v>78</v>
      </c>
      <c r="D21" s="2" t="s">
        <v>79</v>
      </c>
    </row>
    <row r="22" customFormat="false" ht="15.75" hidden="false" customHeight="false" outlineLevel="0" collapsed="false">
      <c r="A22" s="17" t="s">
        <v>98</v>
      </c>
      <c r="B22" s="17" t="s">
        <v>15</v>
      </c>
      <c r="C22" s="17" t="s">
        <v>99</v>
      </c>
      <c r="D22" s="17" t="s">
        <v>2</v>
      </c>
    </row>
  </sheetData>
  <mergeCells count="2">
    <mergeCell ref="B3:G3"/>
    <mergeCell ref="A16:D16"/>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8" activeCellId="0" sqref="F8"/>
    </sheetView>
  </sheetViews>
  <sheetFormatPr defaultColWidth="12.6328125" defaultRowHeight="15.75" zeroHeight="false" outlineLevelRow="0" outlineLevelCol="0"/>
  <cols>
    <col collapsed="false" customWidth="true" hidden="false" outlineLevel="0" max="1" min="1" style="1" width="20.51"/>
    <col collapsed="false" customWidth="true" hidden="false" outlineLevel="0" max="2" min="2" style="1" width="17.38"/>
    <col collapsed="false" customWidth="true" hidden="false" outlineLevel="0" max="3" min="3" style="1" width="17.75"/>
    <col collapsed="false" customWidth="true" hidden="false" outlineLevel="0" max="4" min="4" style="1" width="17.25"/>
    <col collapsed="false" customWidth="true" hidden="false" outlineLevel="0" max="5" min="5" style="1" width="18.13"/>
    <col collapsed="false" customWidth="true" hidden="false" outlineLevel="0" max="6" min="6" style="1" width="18.5"/>
    <col collapsed="false" customWidth="true" hidden="false" outlineLevel="0" max="7" min="7" style="1" width="25.63"/>
    <col collapsed="false" customWidth="true" hidden="false" outlineLevel="0" max="9" min="9" style="1" width="21.12"/>
    <col collapsed="false" customWidth="true" hidden="false" outlineLevel="0" max="10" min="10" style="1" width="24.52"/>
    <col collapsed="false" customWidth="true" hidden="false" outlineLevel="0" max="11" min="11" style="1" width="20.38"/>
    <col collapsed="false" customWidth="true" hidden="false" outlineLevel="0" max="12" min="12" style="1" width="39.75"/>
  </cols>
  <sheetData>
    <row r="1" customFormat="false" ht="15.75" hidden="false" customHeight="false" outlineLevel="0" collapsed="false">
      <c r="B1" s="2"/>
    </row>
    <row r="2" customFormat="false" ht="15.75" hidden="false" customHeight="false" outlineLevel="0" collapsed="false">
      <c r="B2" s="2" t="s">
        <v>59</v>
      </c>
    </row>
    <row r="3" customFormat="false" ht="15.75" hidden="false" customHeight="false" outlineLevel="0" collapsed="false">
      <c r="A3" s="6"/>
      <c r="B3" s="6" t="s">
        <v>60</v>
      </c>
      <c r="C3" s="6"/>
      <c r="D3" s="6"/>
      <c r="E3" s="6"/>
      <c r="F3" s="6"/>
      <c r="G3" s="6"/>
      <c r="H3" s="6"/>
    </row>
    <row r="4" customFormat="false" ht="15.75" hidden="false" customHeight="false" outlineLevel="0" collapsed="false">
      <c r="A4" s="2"/>
      <c r="B4" s="2"/>
      <c r="C4" s="2"/>
      <c r="D4" s="2"/>
      <c r="E4" s="2"/>
      <c r="F4" s="2"/>
      <c r="G4" s="2"/>
      <c r="H4" s="2"/>
    </row>
    <row r="5" customFormat="false" ht="22.5" hidden="false" customHeight="true" outlineLevel="0" collapsed="false">
      <c r="A5" s="3" t="s">
        <v>1</v>
      </c>
      <c r="B5" s="3" t="s">
        <v>61</v>
      </c>
      <c r="C5" s="3" t="s">
        <v>62</v>
      </c>
      <c r="D5" s="3" t="s">
        <v>63</v>
      </c>
      <c r="E5" s="3" t="s">
        <v>64</v>
      </c>
      <c r="F5" s="3" t="s">
        <v>65</v>
      </c>
      <c r="G5" s="3" t="s">
        <v>66</v>
      </c>
      <c r="H5" s="3" t="s">
        <v>67</v>
      </c>
    </row>
    <row r="6" customFormat="false" ht="22.5" hidden="false" customHeight="true" outlineLevel="0" collapsed="false">
      <c r="A6" s="7" t="n">
        <v>-1</v>
      </c>
      <c r="B6" s="7" t="n">
        <v>104</v>
      </c>
      <c r="C6" s="7" t="n">
        <v>135</v>
      </c>
      <c r="D6" s="7" t="n">
        <f aca="false">AVERAGE(B6:C6)</f>
        <v>119.5</v>
      </c>
      <c r="E6" s="7" t="n">
        <f aca="false">ROUND(F6*H6,0)</f>
        <v>87</v>
      </c>
      <c r="F6" s="7" t="n">
        <f aca="false">ROUND(F7 * 0.9,0)</f>
        <v>173</v>
      </c>
      <c r="G6" s="7" t="n">
        <f aca="false">AVERAGE(E6:F6)</f>
        <v>130</v>
      </c>
      <c r="H6" s="7" t="n">
        <v>0.5</v>
      </c>
    </row>
    <row r="7" customFormat="false" ht="22.5" hidden="false" customHeight="true" outlineLevel="0" collapsed="false">
      <c r="A7" s="7" t="n">
        <v>0</v>
      </c>
      <c r="B7" s="7" t="n">
        <v>110</v>
      </c>
      <c r="C7" s="7" t="n">
        <v>140</v>
      </c>
      <c r="D7" s="7" t="n">
        <f aca="false">AVERAGE(B7:C7)</f>
        <v>125</v>
      </c>
      <c r="E7" s="7" t="n">
        <f aca="false">ROUND(F7*H7,0)</f>
        <v>96</v>
      </c>
      <c r="F7" s="7" t="n">
        <v>192</v>
      </c>
      <c r="G7" s="7" t="n">
        <f aca="false">AVERAGE(E7:F7)</f>
        <v>144</v>
      </c>
      <c r="H7" s="7" t="n">
        <v>0.5</v>
      </c>
    </row>
    <row r="8" customFormat="false" ht="22.5" hidden="false" customHeight="true" outlineLevel="0" collapsed="false">
      <c r="A8" s="7" t="n">
        <v>1</v>
      </c>
      <c r="B8" s="7" t="n">
        <v>123</v>
      </c>
      <c r="C8" s="7" t="n">
        <v>157</v>
      </c>
      <c r="D8" s="7" t="n">
        <f aca="false">AVERAGE(B8:C8)</f>
        <v>140</v>
      </c>
      <c r="E8" s="7" t="n">
        <f aca="false">ROUND(F8*H8,0)</f>
        <v>106</v>
      </c>
      <c r="F8" s="7" t="n">
        <f aca="false">ROUND(F7*1.1,0)</f>
        <v>211</v>
      </c>
      <c r="G8" s="7" t="n">
        <f aca="false">AVERAGE(E8:F8)</f>
        <v>158.5</v>
      </c>
      <c r="H8" s="7" t="n">
        <v>0.5</v>
      </c>
    </row>
    <row r="9" customFormat="false" ht="22.5" hidden="false" customHeight="true" outlineLevel="0" collapsed="false">
      <c r="A9" s="7" t="n">
        <v>2</v>
      </c>
      <c r="B9" s="7" t="n">
        <v>138</v>
      </c>
      <c r="C9" s="7" t="n">
        <v>176</v>
      </c>
      <c r="D9" s="7" t="n">
        <f aca="false">AVERAGE(B9:C9)</f>
        <v>157</v>
      </c>
      <c r="E9" s="7" t="n">
        <f aca="false">ROUND(F9*H9,0)</f>
        <v>116</v>
      </c>
      <c r="F9" s="7" t="n">
        <f aca="false">ROUND(F8*1.1,0)</f>
        <v>232</v>
      </c>
      <c r="G9" s="7" t="n">
        <f aca="false">AVERAGE(E9:F9)</f>
        <v>174</v>
      </c>
      <c r="H9" s="7" t="n">
        <v>0.5</v>
      </c>
    </row>
    <row r="10" customFormat="false" ht="22.5" hidden="false" customHeight="true" outlineLevel="0" collapsed="false">
      <c r="A10" s="7" t="n">
        <v>3</v>
      </c>
      <c r="B10" s="7" t="n">
        <v>155</v>
      </c>
      <c r="C10" s="7" t="n">
        <v>197</v>
      </c>
      <c r="D10" s="7" t="n">
        <f aca="false">AVERAGE(B10:C10)</f>
        <v>176</v>
      </c>
      <c r="E10" s="7" t="n">
        <f aca="false">ROUND(F10*H10,0)</f>
        <v>128</v>
      </c>
      <c r="F10" s="7" t="n">
        <f aca="false">ROUND(F9*1.1,0)</f>
        <v>255</v>
      </c>
      <c r="G10" s="7" t="n">
        <f aca="false">AVERAGE(E10:F10)</f>
        <v>191.5</v>
      </c>
      <c r="H10" s="7" t="n">
        <v>0.5</v>
      </c>
    </row>
    <row r="11" customFormat="false" ht="22.5" hidden="false" customHeight="true" outlineLevel="0" collapsed="false">
      <c r="A11" s="7" t="n">
        <v>4</v>
      </c>
      <c r="B11" s="7" t="n">
        <v>174</v>
      </c>
      <c r="C11" s="7" t="n">
        <v>221</v>
      </c>
      <c r="D11" s="7" t="n">
        <f aca="false">AVERAGE(B11:C11)</f>
        <v>197.5</v>
      </c>
      <c r="E11" s="7" t="n">
        <f aca="false">ROUND(F11*H11,0)</f>
        <v>141</v>
      </c>
      <c r="F11" s="7" t="n">
        <f aca="false">ROUND(F10*1.1,0)</f>
        <v>281</v>
      </c>
      <c r="G11" s="7" t="n">
        <f aca="false">AVERAGE(E11:F11)</f>
        <v>211</v>
      </c>
      <c r="H11" s="7" t="n">
        <v>0.5</v>
      </c>
    </row>
    <row r="12" customFormat="false" ht="22.5" hidden="false" customHeight="true" outlineLevel="0" collapsed="false">
      <c r="A12" s="7" t="n">
        <v>5</v>
      </c>
      <c r="B12" s="7" t="n">
        <v>195</v>
      </c>
      <c r="C12" s="7" t="n">
        <v>248</v>
      </c>
      <c r="D12" s="7" t="n">
        <f aca="false">AVERAGE(B12:C12)</f>
        <v>221.5</v>
      </c>
      <c r="E12" s="7" t="n">
        <f aca="false">ROUND(F12*H12,0)</f>
        <v>155</v>
      </c>
      <c r="F12" s="7" t="n">
        <f aca="false">ROUND(F11*1.1,0)</f>
        <v>309</v>
      </c>
      <c r="G12" s="7" t="n">
        <f aca="false">AVERAGE(E12:F12)</f>
        <v>232</v>
      </c>
      <c r="H12" s="7" t="n">
        <v>0.5</v>
      </c>
    </row>
    <row r="14" customFormat="false" ht="11.25" hidden="false" customHeight="true" outlineLevel="0" collapsed="false">
      <c r="L14" s="2"/>
    </row>
    <row r="15" customFormat="false" ht="15.75" hidden="false" customHeight="false" outlineLevel="0" collapsed="false">
      <c r="A15" s="18" t="s">
        <v>68</v>
      </c>
      <c r="B15" s="18"/>
      <c r="C15" s="18"/>
      <c r="D15" s="18"/>
    </row>
    <row r="16" customFormat="false" ht="39" hidden="false" customHeight="true" outlineLevel="0" collapsed="false">
      <c r="A16" s="6" t="s">
        <v>69</v>
      </c>
      <c r="B16" s="6" t="s">
        <v>70</v>
      </c>
      <c r="C16" s="18" t="s">
        <v>71</v>
      </c>
      <c r="D16" s="6" t="s">
        <v>94</v>
      </c>
    </row>
    <row r="17" customFormat="false" ht="65.25" hidden="false" customHeight="true" outlineLevel="0" collapsed="false">
      <c r="A17" s="13" t="s">
        <v>85</v>
      </c>
      <c r="B17" s="13" t="s">
        <v>85</v>
      </c>
      <c r="C17" s="20" t="s">
        <v>100</v>
      </c>
      <c r="D17" s="13" t="s">
        <v>85</v>
      </c>
      <c r="L17" s="17"/>
    </row>
    <row r="18" customFormat="false" ht="15.75" hidden="false" customHeight="false" outlineLevel="0" collapsed="false">
      <c r="K18" s="2"/>
    </row>
    <row r="20" customFormat="false" ht="15.75" hidden="false" customHeight="false" outlineLevel="0" collapsed="false">
      <c r="A20" s="2" t="s">
        <v>75</v>
      </c>
    </row>
    <row r="21" customFormat="false" ht="15.75" hidden="false" customHeight="false" outlineLevel="0" collapsed="false">
      <c r="A21" s="2" t="s">
        <v>76</v>
      </c>
      <c r="B21" s="2" t="s">
        <v>77</v>
      </c>
      <c r="C21" s="2" t="s">
        <v>78</v>
      </c>
      <c r="D21" s="2" t="s">
        <v>79</v>
      </c>
    </row>
    <row r="22" customFormat="false" ht="15.75" hidden="false" customHeight="false" outlineLevel="0" collapsed="false">
      <c r="A22" s="17" t="s">
        <v>101</v>
      </c>
      <c r="B22" s="17" t="s">
        <v>102</v>
      </c>
      <c r="C22" s="17" t="s">
        <v>103</v>
      </c>
      <c r="D22" s="17" t="s">
        <v>35</v>
      </c>
    </row>
  </sheetData>
  <mergeCells count="2">
    <mergeCell ref="B3:G3"/>
    <mergeCell ref="A15:D15"/>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20.51"/>
    <col collapsed="false" customWidth="true" hidden="false" outlineLevel="0" max="2" min="2" style="1" width="17.38"/>
    <col collapsed="false" customWidth="true" hidden="false" outlineLevel="0" max="3" min="3" style="1" width="17.75"/>
    <col collapsed="false" customWidth="true" hidden="false" outlineLevel="0" max="4" min="4" style="1" width="17.25"/>
    <col collapsed="false" customWidth="true" hidden="false" outlineLevel="0" max="5" min="5" style="1" width="18.13"/>
    <col collapsed="false" customWidth="true" hidden="false" outlineLevel="0" max="6" min="6" style="1" width="18.5"/>
    <col collapsed="false" customWidth="true" hidden="false" outlineLevel="0" max="7" min="7" style="1" width="25.63"/>
    <col collapsed="false" customWidth="true" hidden="false" outlineLevel="0" max="9" min="9" style="1" width="24.52"/>
  </cols>
  <sheetData>
    <row r="1" customFormat="false" ht="15.75" hidden="false" customHeight="false" outlineLevel="0" collapsed="false">
      <c r="B1" s="2"/>
    </row>
    <row r="2" customFormat="false" ht="15.75" hidden="false" customHeight="false" outlineLevel="0" collapsed="false">
      <c r="B2" s="2" t="s">
        <v>59</v>
      </c>
    </row>
    <row r="3" customFormat="false" ht="15.75" hidden="false" customHeight="false" outlineLevel="0" collapsed="false">
      <c r="A3" s="6"/>
      <c r="B3" s="6" t="s">
        <v>60</v>
      </c>
      <c r="C3" s="6"/>
      <c r="D3" s="6"/>
      <c r="E3" s="6"/>
      <c r="F3" s="6"/>
      <c r="G3" s="6"/>
      <c r="H3" s="6"/>
    </row>
    <row r="4" customFormat="false" ht="15.75" hidden="false" customHeight="false" outlineLevel="0" collapsed="false">
      <c r="A4" s="2"/>
      <c r="B4" s="2"/>
      <c r="C4" s="2"/>
      <c r="D4" s="2"/>
      <c r="E4" s="2"/>
      <c r="F4" s="2"/>
      <c r="G4" s="2"/>
      <c r="H4" s="2"/>
    </row>
    <row r="5" customFormat="false" ht="22.5" hidden="false" customHeight="true" outlineLevel="0" collapsed="false">
      <c r="A5" s="3" t="s">
        <v>1</v>
      </c>
      <c r="B5" s="3" t="s">
        <v>61</v>
      </c>
      <c r="C5" s="3" t="s">
        <v>62</v>
      </c>
      <c r="D5" s="3" t="s">
        <v>63</v>
      </c>
      <c r="E5" s="3" t="s">
        <v>64</v>
      </c>
      <c r="F5" s="3" t="s">
        <v>65</v>
      </c>
      <c r="G5" s="3" t="s">
        <v>66</v>
      </c>
      <c r="H5" s="3" t="s">
        <v>67</v>
      </c>
    </row>
    <row r="6" customFormat="false" ht="22.5" hidden="false" customHeight="true" outlineLevel="0" collapsed="false">
      <c r="A6" s="7" t="n">
        <v>-1</v>
      </c>
      <c r="B6" s="7" t="n">
        <v>79</v>
      </c>
      <c r="C6" s="7" t="n">
        <v>126</v>
      </c>
      <c r="D6" s="7" t="n">
        <f aca="false">AVERAGE(B6:C6)</f>
        <v>102.5</v>
      </c>
      <c r="E6" s="7" t="n">
        <f aca="false">ROUND(F6*H6,0)</f>
        <v>70</v>
      </c>
      <c r="F6" s="7" t="n">
        <f aca="false">ROUND(F7 * 0.9,0)</f>
        <v>139</v>
      </c>
      <c r="G6" s="7" t="n">
        <f aca="false">AVERAGE(E6:F6)</f>
        <v>104.5</v>
      </c>
      <c r="H6" s="7" t="n">
        <v>0.5</v>
      </c>
    </row>
    <row r="7" customFormat="false" ht="22.5" hidden="false" customHeight="true" outlineLevel="0" collapsed="false">
      <c r="A7" s="7" t="n">
        <v>0</v>
      </c>
      <c r="B7" s="7" t="n">
        <v>82</v>
      </c>
      <c r="C7" s="7" t="n">
        <v>136</v>
      </c>
      <c r="D7" s="7" t="n">
        <f aca="false">AVERAGE(B7:C7)</f>
        <v>109</v>
      </c>
      <c r="E7" s="7" t="n">
        <f aca="false">ROUND(F7*H7,0)</f>
        <v>77</v>
      </c>
      <c r="F7" s="7" t="n">
        <v>154</v>
      </c>
      <c r="G7" s="7" t="n">
        <f aca="false">AVERAGE(E7:F7)</f>
        <v>115.5</v>
      </c>
      <c r="H7" s="7" t="n">
        <v>0.5</v>
      </c>
    </row>
    <row r="8" customFormat="false" ht="16.5" hidden="false" customHeight="true" outlineLevel="0" collapsed="false">
      <c r="A8" s="7" t="n">
        <v>1</v>
      </c>
      <c r="B8" s="7" t="n">
        <v>89</v>
      </c>
      <c r="C8" s="7" t="n">
        <v>155</v>
      </c>
      <c r="D8" s="7" t="n">
        <f aca="false">AVERAGE(B8:C8)</f>
        <v>122</v>
      </c>
      <c r="E8" s="7" t="n">
        <f aca="false">ROUND(F8*H8,0)</f>
        <v>85</v>
      </c>
      <c r="F8" s="7" t="n">
        <f aca="false">ROUND(F7*1.1,0)</f>
        <v>169</v>
      </c>
      <c r="G8" s="7" t="n">
        <f aca="false">AVERAGE(E8:F8)</f>
        <v>127</v>
      </c>
      <c r="H8" s="7" t="n">
        <v>0.5</v>
      </c>
      <c r="K8" s="2"/>
    </row>
    <row r="9" customFormat="false" ht="22.5" hidden="false" customHeight="true" outlineLevel="0" collapsed="false">
      <c r="A9" s="7" t="n">
        <v>2</v>
      </c>
      <c r="B9" s="7" t="n">
        <v>96</v>
      </c>
      <c r="C9" s="7" t="n">
        <v>177</v>
      </c>
      <c r="D9" s="7" t="n">
        <f aca="false">AVERAGE(B9:C9)</f>
        <v>136.5</v>
      </c>
      <c r="E9" s="7" t="n">
        <f aca="false">ROUND(F9*H9,0)</f>
        <v>93</v>
      </c>
      <c r="F9" s="7" t="n">
        <f aca="false">ROUND(F8*1.1,0)</f>
        <v>186</v>
      </c>
      <c r="G9" s="7" t="n">
        <f aca="false">AVERAGE(E9:F9)</f>
        <v>139.5</v>
      </c>
      <c r="H9" s="7" t="n">
        <v>0.5</v>
      </c>
    </row>
    <row r="10" customFormat="false" ht="15" hidden="false" customHeight="true" outlineLevel="0" collapsed="false">
      <c r="A10" s="7" t="n">
        <v>3</v>
      </c>
      <c r="B10" s="7" t="n">
        <v>104</v>
      </c>
      <c r="C10" s="7" t="n">
        <v>202</v>
      </c>
      <c r="D10" s="7" t="n">
        <f aca="false">AVERAGE(B10:C10)</f>
        <v>153</v>
      </c>
      <c r="E10" s="7" t="n">
        <f aca="false">ROUND(F10*H10,0)</f>
        <v>103</v>
      </c>
      <c r="F10" s="7" t="n">
        <f aca="false">ROUND(F9*1.1,0)</f>
        <v>205</v>
      </c>
      <c r="G10" s="7" t="n">
        <f aca="false">AVERAGE(E10:F10)</f>
        <v>154</v>
      </c>
      <c r="H10" s="7" t="n">
        <v>0.5</v>
      </c>
    </row>
    <row r="11" customFormat="false" ht="22.5" hidden="false" customHeight="true" outlineLevel="0" collapsed="false">
      <c r="A11" s="7" t="n">
        <v>4</v>
      </c>
      <c r="B11" s="7" t="n">
        <v>112</v>
      </c>
      <c r="C11" s="7" t="n">
        <v>230</v>
      </c>
      <c r="D11" s="7" t="n">
        <f aca="false">AVERAGE(B11:C11)</f>
        <v>171</v>
      </c>
      <c r="E11" s="7" t="n">
        <f aca="false">ROUND(F11*H11,0)</f>
        <v>113</v>
      </c>
      <c r="F11" s="7" t="n">
        <f aca="false">ROUND(F10*1.1,0)</f>
        <v>226</v>
      </c>
      <c r="G11" s="7" t="n">
        <f aca="false">AVERAGE(E11:F11)</f>
        <v>169.5</v>
      </c>
      <c r="H11" s="7" t="n">
        <v>0.5</v>
      </c>
    </row>
    <row r="12" customFormat="false" ht="22.5" hidden="false" customHeight="true" outlineLevel="0" collapsed="false">
      <c r="A12" s="7" t="n">
        <v>5</v>
      </c>
      <c r="B12" s="7" t="n">
        <v>121</v>
      </c>
      <c r="C12" s="7" t="n">
        <v>262</v>
      </c>
      <c r="D12" s="7" t="n">
        <f aca="false">AVERAGE(B12:C12)</f>
        <v>191.5</v>
      </c>
      <c r="E12" s="7" t="n">
        <f aca="false">ROUND(F12*H12,0)</f>
        <v>125</v>
      </c>
      <c r="F12" s="7" t="n">
        <f aca="false">ROUND(F11*1.1,0)</f>
        <v>249</v>
      </c>
      <c r="G12" s="7" t="n">
        <f aca="false">AVERAGE(E12:F12)</f>
        <v>187</v>
      </c>
      <c r="H12" s="7" t="n">
        <v>0.5</v>
      </c>
    </row>
    <row r="13" customFormat="false" ht="15.75" hidden="false" customHeight="false" outlineLevel="0" collapsed="false">
      <c r="A13" s="6" t="s">
        <v>68</v>
      </c>
      <c r="B13" s="6"/>
      <c r="C13" s="6"/>
    </row>
    <row r="14" customFormat="false" ht="15.75" hidden="false" customHeight="false" outlineLevel="0" collapsed="false">
      <c r="A14" s="6" t="s">
        <v>69</v>
      </c>
      <c r="B14" s="6" t="s">
        <v>70</v>
      </c>
      <c r="C14" s="6" t="s">
        <v>71</v>
      </c>
      <c r="D14" s="6" t="s">
        <v>94</v>
      </c>
    </row>
    <row r="15" customFormat="false" ht="15.75" hidden="false" customHeight="false" outlineLevel="0" collapsed="false">
      <c r="A15" s="13" t="s">
        <v>85</v>
      </c>
      <c r="B15" s="13" t="s">
        <v>104</v>
      </c>
      <c r="C15" s="13" t="s">
        <v>92</v>
      </c>
      <c r="D15" s="13" t="s">
        <v>92</v>
      </c>
    </row>
    <row r="16" customFormat="false" ht="15.75" hidden="false" customHeight="false" outlineLevel="0" collapsed="false">
      <c r="E16" s="10"/>
      <c r="F16" s="10"/>
      <c r="G16" s="10"/>
    </row>
    <row r="19" customFormat="false" ht="36" hidden="false" customHeight="true" outlineLevel="0" collapsed="false"/>
    <row r="20" customFormat="false" ht="15.75" hidden="false" customHeight="false" outlineLevel="0" collapsed="false">
      <c r="A20" s="6" t="s">
        <v>75</v>
      </c>
      <c r="B20" s="6"/>
      <c r="C20" s="6"/>
      <c r="D20" s="6"/>
    </row>
    <row r="21" customFormat="false" ht="15.75" hidden="false" customHeight="false" outlineLevel="0" collapsed="false">
      <c r="A21" s="6" t="s">
        <v>76</v>
      </c>
      <c r="B21" s="6" t="s">
        <v>77</v>
      </c>
      <c r="C21" s="6" t="s">
        <v>78</v>
      </c>
      <c r="D21" s="6" t="s">
        <v>79</v>
      </c>
    </row>
    <row r="22" customFormat="false" ht="15.75" hidden="false" customHeight="false" outlineLevel="0" collapsed="false">
      <c r="A22" s="22" t="s">
        <v>105</v>
      </c>
      <c r="B22" s="22" t="s">
        <v>8</v>
      </c>
      <c r="C22" s="22" t="s">
        <v>106</v>
      </c>
      <c r="D22" s="11" t="s">
        <v>107</v>
      </c>
    </row>
  </sheetData>
  <mergeCells count="2">
    <mergeCell ref="B3:G3"/>
    <mergeCell ref="A13:C13"/>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20.51"/>
    <col collapsed="false" customWidth="true" hidden="false" outlineLevel="0" max="2" min="2" style="1" width="17.38"/>
    <col collapsed="false" customWidth="true" hidden="false" outlineLevel="0" max="3" min="3" style="1" width="17.75"/>
    <col collapsed="false" customWidth="true" hidden="false" outlineLevel="0" max="4" min="4" style="1" width="17.25"/>
    <col collapsed="false" customWidth="true" hidden="false" outlineLevel="0" max="5" min="5" style="1" width="18.13"/>
    <col collapsed="false" customWidth="true" hidden="false" outlineLevel="0" max="6" min="6" style="1" width="18.5"/>
    <col collapsed="false" customWidth="true" hidden="false" outlineLevel="0" max="7" min="7" style="1" width="25.63"/>
    <col collapsed="false" customWidth="true" hidden="false" outlineLevel="0" max="9" min="9" style="1" width="21.12"/>
    <col collapsed="false" customWidth="true" hidden="false" outlineLevel="0" max="10" min="10" style="1" width="24.52"/>
    <col collapsed="false" customWidth="true" hidden="false" outlineLevel="0" max="11" min="11" style="1" width="2.75"/>
    <col collapsed="false" customWidth="true" hidden="false" outlineLevel="0" max="12" min="12" style="1" width="2.5"/>
    <col collapsed="false" customWidth="true" hidden="false" outlineLevel="0" max="13" min="13" style="1" width="2.63"/>
    <col collapsed="false" customWidth="true" hidden="false" outlineLevel="0" max="15" min="14" style="1" width="3.13"/>
    <col collapsed="false" customWidth="true" hidden="false" outlineLevel="0" max="16" min="16" style="1" width="2.88"/>
    <col collapsed="false" customWidth="true" hidden="false" outlineLevel="0" max="17" min="17" style="1" width="2"/>
  </cols>
  <sheetData>
    <row r="1" customFormat="false" ht="15.75" hidden="false" customHeight="false" outlineLevel="0" collapsed="false">
      <c r="B1" s="2"/>
    </row>
    <row r="2" customFormat="false" ht="15.75" hidden="false" customHeight="false" outlineLevel="0" collapsed="false">
      <c r="B2" s="2" t="s">
        <v>59</v>
      </c>
    </row>
    <row r="3" customFormat="false" ht="15.75" hidden="false" customHeight="false" outlineLevel="0" collapsed="false">
      <c r="A3" s="6"/>
      <c r="B3" s="6" t="s">
        <v>60</v>
      </c>
      <c r="C3" s="6"/>
      <c r="D3" s="6"/>
      <c r="E3" s="6"/>
      <c r="F3" s="6"/>
      <c r="G3" s="6"/>
      <c r="H3" s="6"/>
    </row>
    <row r="4" customFormat="false" ht="15.75" hidden="false" customHeight="false" outlineLevel="0" collapsed="false">
      <c r="A4" s="2"/>
      <c r="B4" s="2"/>
      <c r="C4" s="2"/>
      <c r="D4" s="2"/>
      <c r="E4" s="2"/>
      <c r="F4" s="2"/>
      <c r="G4" s="2"/>
      <c r="H4" s="2"/>
      <c r="K4" s="2"/>
      <c r="L4" s="2"/>
      <c r="M4" s="2"/>
      <c r="N4" s="2"/>
      <c r="O4" s="2"/>
      <c r="P4" s="2"/>
      <c r="Q4" s="2"/>
    </row>
    <row r="5" customFormat="false" ht="22.5" hidden="false" customHeight="true" outlineLevel="0" collapsed="false">
      <c r="A5" s="3" t="s">
        <v>1</v>
      </c>
      <c r="B5" s="3" t="s">
        <v>61</v>
      </c>
      <c r="C5" s="3" t="s">
        <v>62</v>
      </c>
      <c r="D5" s="3" t="s">
        <v>63</v>
      </c>
      <c r="E5" s="3" t="s">
        <v>64</v>
      </c>
      <c r="F5" s="3" t="s">
        <v>65</v>
      </c>
      <c r="G5" s="3" t="s">
        <v>66</v>
      </c>
      <c r="H5" s="3" t="s">
        <v>67</v>
      </c>
      <c r="K5" s="14" t="s">
        <v>108</v>
      </c>
      <c r="L5" s="14"/>
      <c r="M5" s="14"/>
      <c r="N5" s="14"/>
      <c r="O5" s="14"/>
      <c r="P5" s="14"/>
      <c r="Q5" s="14"/>
    </row>
    <row r="6" customFormat="false" ht="16.5" hidden="false" customHeight="true" outlineLevel="0" collapsed="false">
      <c r="A6" s="7" t="n">
        <v>-1</v>
      </c>
      <c r="B6" s="7" t="n">
        <v>85</v>
      </c>
      <c r="C6" s="7" t="n">
        <v>114</v>
      </c>
      <c r="D6" s="7" t="n">
        <f aca="false">AVERAGE(B6:C6)</f>
        <v>99.5</v>
      </c>
      <c r="E6" s="7" t="n">
        <f aca="false">ROUND(F6*H6,0)</f>
        <v>101</v>
      </c>
      <c r="F6" s="7" t="n">
        <f aca="false">ROUND(F7 * 0.9,0)</f>
        <v>126</v>
      </c>
      <c r="G6" s="7" t="n">
        <f aca="false">AVERAGE(E6:F6)</f>
        <v>113.5</v>
      </c>
      <c r="H6" s="7" t="n">
        <v>0.8</v>
      </c>
    </row>
    <row r="7" customFormat="false" ht="16.5" hidden="false" customHeight="true" outlineLevel="0" collapsed="false">
      <c r="A7" s="7" t="n">
        <v>0</v>
      </c>
      <c r="B7" s="7" t="n">
        <v>99</v>
      </c>
      <c r="C7" s="7" t="n">
        <v>126</v>
      </c>
      <c r="D7" s="7" t="n">
        <f aca="false">AVERAGE(B7:C7)</f>
        <v>112.5</v>
      </c>
      <c r="E7" s="7" t="n">
        <f aca="false">ROUND(F7*H7,0)</f>
        <v>112</v>
      </c>
      <c r="F7" s="7" t="n">
        <v>140</v>
      </c>
      <c r="G7" s="7" t="n">
        <f aca="false">AVERAGE(E7:F7)</f>
        <v>126</v>
      </c>
      <c r="H7" s="7" t="n">
        <v>0.8</v>
      </c>
      <c r="N7" s="15"/>
    </row>
    <row r="8" customFormat="false" ht="16.5" hidden="false" customHeight="true" outlineLevel="0" collapsed="false">
      <c r="A8" s="7" t="n">
        <v>1</v>
      </c>
      <c r="B8" s="7" t="n">
        <v>111</v>
      </c>
      <c r="C8" s="7" t="n">
        <v>141</v>
      </c>
      <c r="D8" s="7" t="n">
        <f aca="false">AVERAGE(B8:C8)</f>
        <v>126</v>
      </c>
      <c r="E8" s="7" t="n">
        <f aca="false">ROUND(F8*H8,0)</f>
        <v>123</v>
      </c>
      <c r="F8" s="7" t="n">
        <f aca="false">ROUND(F7*1.1,0)</f>
        <v>154</v>
      </c>
      <c r="G8" s="7" t="n">
        <f aca="false">AVERAGE(E8:F8)</f>
        <v>138.5</v>
      </c>
      <c r="H8" s="7" t="n">
        <v>0.8</v>
      </c>
      <c r="N8" s="15"/>
    </row>
    <row r="9" customFormat="false" ht="16.5" hidden="false" customHeight="true" outlineLevel="0" collapsed="false">
      <c r="A9" s="7" t="n">
        <v>2</v>
      </c>
      <c r="B9" s="7" t="n">
        <v>124</v>
      </c>
      <c r="C9" s="7" t="n">
        <v>158</v>
      </c>
      <c r="D9" s="7" t="n">
        <f aca="false">AVERAGE(B9:C9)</f>
        <v>141</v>
      </c>
      <c r="E9" s="7" t="n">
        <f aca="false">ROUND(F9*H9,0)</f>
        <v>135</v>
      </c>
      <c r="F9" s="7" t="n">
        <f aca="false">ROUND(F8*1.1,0)</f>
        <v>169</v>
      </c>
      <c r="G9" s="7" t="n">
        <f aca="false">AVERAGE(E9:F9)</f>
        <v>152</v>
      </c>
      <c r="H9" s="7" t="n">
        <v>0.8</v>
      </c>
      <c r="N9" s="15"/>
    </row>
    <row r="10" customFormat="false" ht="16.5" hidden="false" customHeight="true" outlineLevel="0" collapsed="false">
      <c r="A10" s="7" t="n">
        <v>3</v>
      </c>
      <c r="B10" s="7" t="n">
        <v>139</v>
      </c>
      <c r="C10" s="7" t="n">
        <v>177</v>
      </c>
      <c r="D10" s="7" t="n">
        <f aca="false">AVERAGE(B10:C10)</f>
        <v>158</v>
      </c>
      <c r="E10" s="7" t="n">
        <f aca="false">ROUND(F10*H10,0)</f>
        <v>149</v>
      </c>
      <c r="F10" s="7" t="n">
        <f aca="false">ROUND(F9*1.1,0)</f>
        <v>186</v>
      </c>
      <c r="G10" s="7" t="n">
        <f aca="false">AVERAGE(E10:F10)</f>
        <v>167.5</v>
      </c>
      <c r="H10" s="7" t="n">
        <v>0.8</v>
      </c>
      <c r="N10" s="15"/>
    </row>
    <row r="11" customFormat="false" ht="16.5" hidden="false" customHeight="true" outlineLevel="0" collapsed="false">
      <c r="A11" s="7" t="n">
        <v>4</v>
      </c>
      <c r="B11" s="7" t="n">
        <v>156</v>
      </c>
      <c r="C11" s="7" t="n">
        <v>198</v>
      </c>
      <c r="D11" s="7" t="n">
        <f aca="false">AVERAGE(B11:C11)</f>
        <v>177</v>
      </c>
      <c r="E11" s="7" t="n">
        <f aca="false">ROUND(F11*H11,0)</f>
        <v>164</v>
      </c>
      <c r="F11" s="7" t="n">
        <f aca="false">ROUND(F10*1.1,0)</f>
        <v>205</v>
      </c>
      <c r="G11" s="7" t="n">
        <f aca="false">AVERAGE(E11:F11)</f>
        <v>184.5</v>
      </c>
      <c r="H11" s="7" t="n">
        <v>0.8</v>
      </c>
    </row>
    <row r="12" customFormat="false" ht="16.5" hidden="false" customHeight="true" outlineLevel="0" collapsed="false">
      <c r="A12" s="7" t="n">
        <v>5</v>
      </c>
      <c r="B12" s="7" t="n">
        <v>175</v>
      </c>
      <c r="C12" s="7" t="n">
        <v>222</v>
      </c>
      <c r="D12" s="7" t="n">
        <f aca="false">AVERAGE(B12:C12)</f>
        <v>198.5</v>
      </c>
      <c r="E12" s="7" t="n">
        <f aca="false">ROUND(F12*H12,0)</f>
        <v>181</v>
      </c>
      <c r="F12" s="7" t="n">
        <f aca="false">ROUND(F11*1.1,0)</f>
        <v>226</v>
      </c>
      <c r="G12" s="7" t="n">
        <f aca="false">AVERAGE(E12:F12)</f>
        <v>203.5</v>
      </c>
      <c r="H12" s="7" t="n">
        <v>0.8</v>
      </c>
    </row>
    <row r="14" customFormat="false" ht="11.25" hidden="false" customHeight="true" outlineLevel="0" collapsed="false"/>
    <row r="16" customFormat="false" ht="15.75" hidden="false" customHeight="false" outlineLevel="0" collapsed="false">
      <c r="A16" s="18" t="s">
        <v>68</v>
      </c>
      <c r="B16" s="18"/>
      <c r="C16" s="18"/>
      <c r="D16" s="18"/>
    </row>
    <row r="17" customFormat="false" ht="15.75" hidden="false" customHeight="false" outlineLevel="0" collapsed="false">
      <c r="A17" s="6" t="s">
        <v>69</v>
      </c>
      <c r="B17" s="6" t="s">
        <v>70</v>
      </c>
      <c r="C17" s="18" t="s">
        <v>71</v>
      </c>
      <c r="D17" s="8" t="s">
        <v>94</v>
      </c>
      <c r="K17" s="23"/>
      <c r="L17" s="23"/>
      <c r="P17" s="23"/>
      <c r="Q17" s="23"/>
    </row>
    <row r="18" customFormat="false" ht="15.75" hidden="false" customHeight="false" outlineLevel="0" collapsed="false">
      <c r="A18" s="13" t="s">
        <v>109</v>
      </c>
      <c r="B18" s="13" t="s">
        <v>110</v>
      </c>
      <c r="C18" s="20" t="s">
        <v>92</v>
      </c>
      <c r="D18" s="24" t="s">
        <v>85</v>
      </c>
      <c r="K18" s="23"/>
      <c r="L18" s="23"/>
      <c r="P18" s="23"/>
      <c r="Q18" s="23"/>
    </row>
    <row r="19" customFormat="false" ht="15.75" hidden="false" customHeight="false" outlineLevel="0" collapsed="false">
      <c r="H19" s="10"/>
      <c r="I19" s="10"/>
      <c r="K19" s="23"/>
      <c r="L19" s="23"/>
      <c r="P19" s="23"/>
      <c r="Q19" s="23"/>
    </row>
    <row r="20" customFormat="false" ht="15.75" hidden="false" customHeight="false" outlineLevel="0" collapsed="false">
      <c r="A20" s="6" t="s">
        <v>75</v>
      </c>
      <c r="B20" s="6"/>
      <c r="C20" s="6"/>
      <c r="D20" s="6"/>
      <c r="H20" s="10"/>
      <c r="I20" s="10"/>
      <c r="K20" s="23"/>
      <c r="L20" s="23"/>
      <c r="M20" s="23"/>
    </row>
    <row r="21" customFormat="false" ht="15.75" hidden="false" customHeight="false" outlineLevel="0" collapsed="false">
      <c r="A21" s="6" t="s">
        <v>76</v>
      </c>
      <c r="B21" s="6" t="s">
        <v>77</v>
      </c>
      <c r="C21" s="6" t="s">
        <v>78</v>
      </c>
      <c r="D21" s="6" t="s">
        <v>79</v>
      </c>
      <c r="H21" s="10"/>
      <c r="I21" s="10"/>
    </row>
    <row r="22" customFormat="false" ht="15.75" hidden="false" customHeight="false" outlineLevel="0" collapsed="false">
      <c r="A22" s="25" t="s">
        <v>111</v>
      </c>
      <c r="B22" s="22" t="s">
        <v>7</v>
      </c>
      <c r="C22" s="25" t="s">
        <v>34</v>
      </c>
      <c r="D22" s="13" t="s">
        <v>112</v>
      </c>
      <c r="H22" s="10"/>
    </row>
    <row r="23" customFormat="false" ht="15.75" hidden="false" customHeight="false" outlineLevel="0" collapsed="false">
      <c r="H23" s="10"/>
    </row>
  </sheetData>
  <mergeCells count="3">
    <mergeCell ref="B3:G3"/>
    <mergeCell ref="K5:Q5"/>
    <mergeCell ref="A16:D16"/>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20.51"/>
    <col collapsed="false" customWidth="true" hidden="false" outlineLevel="0" max="2" min="2" style="1" width="17.38"/>
    <col collapsed="false" customWidth="true" hidden="false" outlineLevel="0" max="3" min="3" style="1" width="17.75"/>
    <col collapsed="false" customWidth="true" hidden="false" outlineLevel="0" max="4" min="4" style="1" width="17.25"/>
    <col collapsed="false" customWidth="true" hidden="false" outlineLevel="0" max="5" min="5" style="1" width="18.13"/>
    <col collapsed="false" customWidth="true" hidden="false" outlineLevel="0" max="6" min="6" style="1" width="22"/>
    <col collapsed="false" customWidth="true" hidden="false" outlineLevel="0" max="7" min="7" style="1" width="25.63"/>
    <col collapsed="false" customWidth="true" hidden="false" outlineLevel="0" max="9" min="9" style="1" width="16.25"/>
    <col collapsed="false" customWidth="true" hidden="false" outlineLevel="0" max="10" min="10" style="1" width="2.63"/>
    <col collapsed="false" customWidth="true" hidden="false" outlineLevel="0" max="13" min="11" style="1" width="2.38"/>
    <col collapsed="false" customWidth="true" hidden="false" outlineLevel="0" max="14" min="14" style="1" width="2.12"/>
    <col collapsed="false" customWidth="true" hidden="false" outlineLevel="0" max="15" min="15" style="1" width="2.38"/>
    <col collapsed="false" customWidth="true" hidden="false" outlineLevel="0" max="16" min="16" style="1" width="2.5"/>
  </cols>
  <sheetData>
    <row r="1" customFormat="false" ht="15.75" hidden="false" customHeight="false" outlineLevel="0" collapsed="false">
      <c r="B1" s="2"/>
    </row>
    <row r="2" customFormat="false" ht="15.75" hidden="false" customHeight="false" outlineLevel="0" collapsed="false">
      <c r="B2" s="2" t="s">
        <v>59</v>
      </c>
    </row>
    <row r="3" customFormat="false" ht="15.75" hidden="false" customHeight="false" outlineLevel="0" collapsed="false">
      <c r="A3" s="6"/>
      <c r="B3" s="6" t="s">
        <v>60</v>
      </c>
      <c r="C3" s="6"/>
      <c r="D3" s="6"/>
      <c r="E3" s="6"/>
      <c r="F3" s="6"/>
      <c r="G3" s="6"/>
      <c r="H3" s="6"/>
    </row>
    <row r="4" customFormat="false" ht="15.75" hidden="false" customHeight="false" outlineLevel="0" collapsed="false">
      <c r="A4" s="2"/>
      <c r="B4" s="2"/>
      <c r="C4" s="2"/>
      <c r="D4" s="2"/>
      <c r="E4" s="2"/>
      <c r="F4" s="2"/>
      <c r="G4" s="2"/>
      <c r="H4" s="2"/>
    </row>
    <row r="5" customFormat="false" ht="22.5" hidden="false" customHeight="true" outlineLevel="0" collapsed="false">
      <c r="A5" s="3" t="s">
        <v>1</v>
      </c>
      <c r="B5" s="3" t="s">
        <v>61</v>
      </c>
      <c r="C5" s="3" t="s">
        <v>62</v>
      </c>
      <c r="D5" s="3" t="s">
        <v>63</v>
      </c>
      <c r="E5" s="3" t="s">
        <v>64</v>
      </c>
      <c r="F5" s="3" t="s">
        <v>65</v>
      </c>
      <c r="G5" s="3" t="s">
        <v>66</v>
      </c>
      <c r="H5" s="3" t="s">
        <v>67</v>
      </c>
    </row>
    <row r="6" customFormat="false" ht="22.5" hidden="false" customHeight="true" outlineLevel="0" collapsed="false">
      <c r="A6" s="7" t="n">
        <v>-1</v>
      </c>
      <c r="B6" s="7" t="n">
        <v>74</v>
      </c>
      <c r="C6" s="7" t="n">
        <v>97</v>
      </c>
      <c r="D6" s="7" t="n">
        <f aca="false">AVERAGE(B6:C6)</f>
        <v>85.5</v>
      </c>
      <c r="E6" s="7" t="n">
        <f aca="false">ROUND(F6*H6,0)</f>
        <v>75</v>
      </c>
      <c r="F6" s="7" t="n">
        <f aca="false">ROUND(F7 * 0.9,0)</f>
        <v>115</v>
      </c>
      <c r="G6" s="7" t="n">
        <f aca="false">AVERAGE(E6:F6)</f>
        <v>95</v>
      </c>
      <c r="H6" s="7" t="n">
        <v>0.65</v>
      </c>
    </row>
    <row r="7" customFormat="false" ht="22.5" hidden="false" customHeight="true" outlineLevel="0" collapsed="false">
      <c r="A7" s="7" t="n">
        <v>0</v>
      </c>
      <c r="B7" s="7" t="n">
        <v>81</v>
      </c>
      <c r="C7" s="7" t="n">
        <v>104</v>
      </c>
      <c r="D7" s="7" t="n">
        <f aca="false">AVERAGE(B7:C7)</f>
        <v>92.5</v>
      </c>
      <c r="E7" s="7" t="n">
        <f aca="false">ROUND(F7*H7,0)</f>
        <v>83</v>
      </c>
      <c r="F7" s="7" t="n">
        <v>128</v>
      </c>
      <c r="G7" s="7" t="n">
        <f aca="false">AVERAGE(E7:F7)</f>
        <v>105.5</v>
      </c>
      <c r="H7" s="7" t="n">
        <v>0.65</v>
      </c>
    </row>
    <row r="8" customFormat="false" ht="22.5" hidden="false" customHeight="true" outlineLevel="0" collapsed="false">
      <c r="A8" s="7" t="n">
        <v>1</v>
      </c>
      <c r="B8" s="7" t="n">
        <v>90</v>
      </c>
      <c r="C8" s="7" t="n">
        <v>115</v>
      </c>
      <c r="D8" s="7" t="n">
        <f aca="false">AVERAGE(B8:C8)</f>
        <v>102.5</v>
      </c>
      <c r="E8" s="7" t="n">
        <f aca="false">ROUND(F8*H8,0)</f>
        <v>92</v>
      </c>
      <c r="F8" s="7" t="n">
        <f aca="false">ROUND(F7*1.1,0)</f>
        <v>141</v>
      </c>
      <c r="G8" s="7" t="n">
        <f aca="false">AVERAGE(E8:F8)</f>
        <v>116.5</v>
      </c>
      <c r="H8" s="7" t="n">
        <v>0.65</v>
      </c>
    </row>
    <row r="9" customFormat="false" ht="22.5" hidden="false" customHeight="true" outlineLevel="0" collapsed="false">
      <c r="A9" s="7" t="n">
        <v>2</v>
      </c>
      <c r="B9" s="7" t="n">
        <v>100</v>
      </c>
      <c r="C9" s="7" t="n">
        <v>128</v>
      </c>
      <c r="D9" s="7" t="n">
        <f aca="false">AVERAGE(B9:C9)</f>
        <v>114</v>
      </c>
      <c r="E9" s="7" t="n">
        <f aca="false">ROUND(F9*H9,0)</f>
        <v>101</v>
      </c>
      <c r="F9" s="7" t="n">
        <f aca="false">ROUND(F8*1.1,0)</f>
        <v>155</v>
      </c>
      <c r="G9" s="7" t="n">
        <f aca="false">AVERAGE(E9:F9)</f>
        <v>128</v>
      </c>
      <c r="H9" s="7" t="n">
        <v>0.65</v>
      </c>
    </row>
    <row r="10" customFormat="false" ht="16.5" hidden="false" customHeight="true" outlineLevel="0" collapsed="false">
      <c r="A10" s="7" t="n">
        <v>3</v>
      </c>
      <c r="B10" s="7" t="n">
        <v>111</v>
      </c>
      <c r="C10" s="7" t="n">
        <v>142</v>
      </c>
      <c r="D10" s="7" t="n">
        <f aca="false">AVERAGE(B10:C10)</f>
        <v>126.5</v>
      </c>
      <c r="E10" s="7" t="n">
        <f aca="false">ROUND(F10*H10,0)</f>
        <v>111</v>
      </c>
      <c r="F10" s="7" t="n">
        <f aca="false">ROUND(F9*1.1,0)</f>
        <v>171</v>
      </c>
      <c r="G10" s="7" t="n">
        <f aca="false">AVERAGE(E10:F10)</f>
        <v>141</v>
      </c>
      <c r="H10" s="7" t="n">
        <v>0.65</v>
      </c>
    </row>
    <row r="11" customFormat="false" ht="22.5" hidden="false" customHeight="true" outlineLevel="0" collapsed="false">
      <c r="A11" s="7" t="n">
        <v>4</v>
      </c>
      <c r="B11" s="7" t="n">
        <v>123</v>
      </c>
      <c r="C11" s="7" t="n">
        <v>158</v>
      </c>
      <c r="D11" s="7" t="n">
        <f aca="false">AVERAGE(B11:C11)</f>
        <v>140.5</v>
      </c>
      <c r="E11" s="7" t="n">
        <f aca="false">ROUND(F11*H11,0)</f>
        <v>122</v>
      </c>
      <c r="F11" s="7" t="n">
        <f aca="false">ROUND(F10*1.1,0)</f>
        <v>188</v>
      </c>
      <c r="G11" s="7" t="n">
        <f aca="false">AVERAGE(E11:F11)</f>
        <v>155</v>
      </c>
      <c r="H11" s="7" t="n">
        <v>0.65</v>
      </c>
    </row>
    <row r="12" customFormat="false" ht="22.5" hidden="false" customHeight="true" outlineLevel="0" collapsed="false">
      <c r="A12" s="7" t="n">
        <v>5</v>
      </c>
      <c r="B12" s="7" t="n">
        <v>137</v>
      </c>
      <c r="C12" s="7" t="n">
        <v>175</v>
      </c>
      <c r="D12" s="7" t="n">
        <f aca="false">AVERAGE(B12:C12)</f>
        <v>156</v>
      </c>
      <c r="E12" s="7" t="n">
        <f aca="false">ROUND(F12*H12,0)</f>
        <v>135</v>
      </c>
      <c r="F12" s="7" t="n">
        <f aca="false">ROUND(F11*1.1,0)</f>
        <v>207</v>
      </c>
      <c r="G12" s="7" t="n">
        <f aca="false">AVERAGE(E12:F12)</f>
        <v>171</v>
      </c>
      <c r="H12" s="7" t="n">
        <v>0.65</v>
      </c>
      <c r="L12" s="26"/>
      <c r="M12" s="26"/>
      <c r="N12" s="26"/>
    </row>
    <row r="13" customFormat="false" ht="15.75" hidden="false" customHeight="false" outlineLevel="0" collapsed="false">
      <c r="I13" s="2" t="s">
        <v>113</v>
      </c>
      <c r="L13" s="26"/>
      <c r="M13" s="26"/>
      <c r="N13" s="26"/>
    </row>
    <row r="14" customFormat="false" ht="15.75" hidden="false" customHeight="false" outlineLevel="0" collapsed="false">
      <c r="L14" s="16"/>
      <c r="M14" s="16"/>
      <c r="N14" s="16"/>
    </row>
    <row r="15" customFormat="false" ht="15.75" hidden="false" customHeight="false" outlineLevel="0" collapsed="false">
      <c r="M15" s="27"/>
    </row>
    <row r="16" customFormat="false" ht="15.75" hidden="false" customHeight="false" outlineLevel="0" collapsed="false">
      <c r="A16" s="18" t="s">
        <v>68</v>
      </c>
      <c r="B16" s="18"/>
      <c r="C16" s="18"/>
      <c r="D16" s="8"/>
    </row>
    <row r="17" customFormat="false" ht="15.75" hidden="false" customHeight="false" outlineLevel="0" collapsed="false">
      <c r="A17" s="6" t="s">
        <v>69</v>
      </c>
      <c r="B17" s="6" t="s">
        <v>70</v>
      </c>
      <c r="C17" s="18" t="s">
        <v>71</v>
      </c>
      <c r="D17" s="18" t="s">
        <v>94</v>
      </c>
      <c r="E17" s="6" t="s">
        <v>114</v>
      </c>
      <c r="F17" s="6" t="s">
        <v>89</v>
      </c>
    </row>
    <row r="18" customFormat="false" ht="15.75" hidden="false" customHeight="false" outlineLevel="0" collapsed="false">
      <c r="A18" s="13" t="s">
        <v>85</v>
      </c>
      <c r="B18" s="13" t="s">
        <v>115</v>
      </c>
      <c r="C18" s="13" t="s">
        <v>116</v>
      </c>
      <c r="D18" s="13" t="s">
        <v>117</v>
      </c>
      <c r="E18" s="13" t="s">
        <v>118</v>
      </c>
      <c r="F18" s="13" t="s">
        <v>119</v>
      </c>
      <c r="H18" s="28"/>
    </row>
    <row r="20" customFormat="false" ht="15.75" hidden="false" customHeight="false" outlineLevel="0" collapsed="false">
      <c r="A20" s="2" t="s">
        <v>75</v>
      </c>
    </row>
    <row r="21" customFormat="false" ht="15.75" hidden="false" customHeight="false" outlineLevel="0" collapsed="false">
      <c r="A21" s="2" t="s">
        <v>76</v>
      </c>
      <c r="B21" s="2" t="s">
        <v>77</v>
      </c>
      <c r="C21" s="2" t="s">
        <v>78</v>
      </c>
      <c r="D21" s="2" t="s">
        <v>79</v>
      </c>
    </row>
    <row r="22" customFormat="false" ht="36" hidden="false" customHeight="true" outlineLevel="0" collapsed="false">
      <c r="A22" s="29" t="s">
        <v>120</v>
      </c>
      <c r="B22" s="29" t="s">
        <v>8</v>
      </c>
      <c r="C22" s="29" t="s">
        <v>36</v>
      </c>
      <c r="D22" s="17" t="s">
        <v>121</v>
      </c>
    </row>
  </sheetData>
  <mergeCells count="2">
    <mergeCell ref="B3:G3"/>
    <mergeCell ref="A16:C16"/>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20.51"/>
    <col collapsed="false" customWidth="true" hidden="false" outlineLevel="0" max="2" min="2" style="1" width="17.38"/>
    <col collapsed="false" customWidth="true" hidden="false" outlineLevel="0" max="3" min="3" style="1" width="17.75"/>
    <col collapsed="false" customWidth="true" hidden="false" outlineLevel="0" max="4" min="4" style="1" width="17.25"/>
    <col collapsed="false" customWidth="true" hidden="false" outlineLevel="0" max="5" min="5" style="1" width="18.13"/>
    <col collapsed="false" customWidth="true" hidden="false" outlineLevel="0" max="6" min="6" style="1" width="18.5"/>
    <col collapsed="false" customWidth="true" hidden="false" outlineLevel="0" max="7" min="7" style="1" width="25.63"/>
    <col collapsed="false" customWidth="true" hidden="false" outlineLevel="0" max="10" min="10" style="1" width="24.52"/>
  </cols>
  <sheetData>
    <row r="1" customFormat="false" ht="15.75" hidden="false" customHeight="false" outlineLevel="0" collapsed="false">
      <c r="B1" s="2"/>
    </row>
    <row r="2" customFormat="false" ht="15.75" hidden="false" customHeight="false" outlineLevel="0" collapsed="false">
      <c r="B2" s="2" t="s">
        <v>59</v>
      </c>
    </row>
    <row r="3" customFormat="false" ht="15.75" hidden="false" customHeight="false" outlineLevel="0" collapsed="false">
      <c r="A3" s="6"/>
      <c r="B3" s="6" t="s">
        <v>60</v>
      </c>
      <c r="C3" s="6"/>
      <c r="D3" s="6"/>
      <c r="E3" s="6"/>
      <c r="F3" s="6"/>
      <c r="G3" s="6"/>
      <c r="H3" s="6"/>
    </row>
    <row r="4" customFormat="false" ht="15.75" hidden="false" customHeight="false" outlineLevel="0" collapsed="false">
      <c r="A4" s="2"/>
      <c r="B4" s="2"/>
      <c r="C4" s="2"/>
      <c r="D4" s="2"/>
      <c r="E4" s="2"/>
      <c r="F4" s="2"/>
      <c r="G4" s="2"/>
      <c r="H4" s="2"/>
    </row>
    <row r="5" customFormat="false" ht="22.5" hidden="false" customHeight="true" outlineLevel="0" collapsed="false">
      <c r="A5" s="3" t="s">
        <v>1</v>
      </c>
      <c r="B5" s="3" t="s">
        <v>61</v>
      </c>
      <c r="C5" s="3" t="s">
        <v>62</v>
      </c>
      <c r="D5" s="3" t="s">
        <v>63</v>
      </c>
      <c r="E5" s="3" t="s">
        <v>64</v>
      </c>
      <c r="F5" s="3" t="s">
        <v>65</v>
      </c>
      <c r="G5" s="3" t="s">
        <v>66</v>
      </c>
      <c r="H5" s="3" t="s">
        <v>67</v>
      </c>
    </row>
    <row r="6" customFormat="false" ht="22.5" hidden="false" customHeight="true" outlineLevel="0" collapsed="false">
      <c r="A6" s="7" t="n">
        <v>-1</v>
      </c>
      <c r="B6" s="7" t="n">
        <v>52</v>
      </c>
      <c r="C6" s="7" t="n">
        <v>99</v>
      </c>
      <c r="D6" s="7" t="n">
        <f aca="false">AVERAGE(B6:C6)</f>
        <v>75.5</v>
      </c>
      <c r="E6" s="7" t="n">
        <f aca="false">ROUND(F6*H6,0)</f>
        <v>57</v>
      </c>
      <c r="F6" s="7" t="n">
        <f aca="false">ROUND(F7 * 0.9,0)</f>
        <v>113</v>
      </c>
      <c r="G6" s="7" t="n">
        <f aca="false">AVERAGE(E6:F6)</f>
        <v>85</v>
      </c>
      <c r="H6" s="7" t="n">
        <v>0.5</v>
      </c>
    </row>
    <row r="7" customFormat="false" ht="22.5" hidden="false" customHeight="true" outlineLevel="0" collapsed="false">
      <c r="A7" s="7" t="n">
        <v>0</v>
      </c>
      <c r="B7" s="7" t="n">
        <v>55</v>
      </c>
      <c r="C7" s="7" t="n">
        <v>105</v>
      </c>
      <c r="D7" s="7" t="n">
        <f aca="false">AVERAGE(B7:C7)</f>
        <v>80</v>
      </c>
      <c r="E7" s="7" t="n">
        <f aca="false">ROUND(F7*H7,0)</f>
        <v>63</v>
      </c>
      <c r="F7" s="7" t="n">
        <v>126</v>
      </c>
      <c r="G7" s="7" t="n">
        <f aca="false">AVERAGE(E7:F7)</f>
        <v>94.5</v>
      </c>
      <c r="H7" s="7" t="n">
        <v>0.5</v>
      </c>
    </row>
    <row r="8" customFormat="false" ht="22.5" hidden="false" customHeight="true" outlineLevel="0" collapsed="false">
      <c r="A8" s="7" t="n">
        <v>1</v>
      </c>
      <c r="B8" s="7" t="n">
        <v>61</v>
      </c>
      <c r="C8" s="7" t="n">
        <v>117</v>
      </c>
      <c r="D8" s="7" t="n">
        <f aca="false">AVERAGE(B8:C8)</f>
        <v>89</v>
      </c>
      <c r="E8" s="7" t="n">
        <f aca="false">ROUND(F8*H8,0)</f>
        <v>70</v>
      </c>
      <c r="F8" s="7" t="n">
        <f aca="false">ROUND(F7*1.1,0)</f>
        <v>139</v>
      </c>
      <c r="G8" s="7" t="n">
        <f aca="false">AVERAGE(E8:F8)</f>
        <v>104.5</v>
      </c>
      <c r="H8" s="7" t="n">
        <v>0.5</v>
      </c>
    </row>
    <row r="9" customFormat="false" ht="22.5" hidden="false" customHeight="true" outlineLevel="0" collapsed="false">
      <c r="A9" s="7" t="n">
        <v>2</v>
      </c>
      <c r="B9" s="7" t="n">
        <v>68</v>
      </c>
      <c r="C9" s="7" t="n">
        <v>130</v>
      </c>
      <c r="D9" s="7" t="n">
        <f aca="false">AVERAGE(B9:C9)</f>
        <v>99</v>
      </c>
      <c r="E9" s="7" t="n">
        <f aca="false">ROUND(F9*H9,0)</f>
        <v>77</v>
      </c>
      <c r="F9" s="7" t="n">
        <f aca="false">ROUND(F8*1.1,0)</f>
        <v>153</v>
      </c>
      <c r="G9" s="7" t="n">
        <f aca="false">AVERAGE(E9:F9)</f>
        <v>115</v>
      </c>
      <c r="H9" s="7" t="n">
        <v>0.5</v>
      </c>
    </row>
    <row r="10" customFormat="false" ht="22.5" hidden="false" customHeight="true" outlineLevel="0" collapsed="false">
      <c r="A10" s="7" t="n">
        <v>3</v>
      </c>
      <c r="B10" s="7" t="n">
        <v>75</v>
      </c>
      <c r="C10" s="7" t="n">
        <v>144</v>
      </c>
      <c r="D10" s="7" t="n">
        <f aca="false">AVERAGE(B10:C10)</f>
        <v>109.5</v>
      </c>
      <c r="E10" s="7" t="n">
        <f aca="false">ROUND(F10*H10,0)</f>
        <v>84</v>
      </c>
      <c r="F10" s="7" t="n">
        <f aca="false">ROUND(F9*1.1,0)</f>
        <v>168</v>
      </c>
      <c r="G10" s="7" t="n">
        <f aca="false">AVERAGE(E10:F10)</f>
        <v>126</v>
      </c>
      <c r="H10" s="7" t="n">
        <v>0.5</v>
      </c>
    </row>
    <row r="11" customFormat="false" ht="22.5" hidden="false" customHeight="true" outlineLevel="0" collapsed="false">
      <c r="A11" s="7" t="n">
        <v>4</v>
      </c>
      <c r="B11" s="7" t="n">
        <v>83</v>
      </c>
      <c r="C11" s="7" t="n">
        <v>160</v>
      </c>
      <c r="D11" s="7" t="n">
        <f aca="false">AVERAGE(B11:C11)</f>
        <v>121.5</v>
      </c>
      <c r="E11" s="7" t="n">
        <f aca="false">ROUND(F11*H11,0)</f>
        <v>93</v>
      </c>
      <c r="F11" s="7" t="n">
        <f aca="false">ROUND(F10*1.1,0)</f>
        <v>185</v>
      </c>
      <c r="G11" s="7" t="n">
        <f aca="false">AVERAGE(E11:F11)</f>
        <v>139</v>
      </c>
      <c r="H11" s="7" t="n">
        <v>0.5</v>
      </c>
    </row>
    <row r="12" customFormat="false" ht="22.5" hidden="false" customHeight="true" outlineLevel="0" collapsed="false">
      <c r="A12" s="7" t="n">
        <v>5</v>
      </c>
      <c r="B12" s="7" t="n">
        <v>92</v>
      </c>
      <c r="C12" s="7" t="n">
        <v>178</v>
      </c>
      <c r="D12" s="7" t="n">
        <f aca="false">AVERAGE(B12:C12)</f>
        <v>135</v>
      </c>
      <c r="E12" s="7" t="n">
        <f aca="false">ROUND(F12*H12,0)</f>
        <v>102</v>
      </c>
      <c r="F12" s="7" t="n">
        <f aca="false">ROUND(F11*1.1,0)</f>
        <v>204</v>
      </c>
      <c r="G12" s="7" t="n">
        <f aca="false">AVERAGE(E12:F12)</f>
        <v>153</v>
      </c>
      <c r="H12" s="7" t="n">
        <v>0.5</v>
      </c>
    </row>
    <row r="14" customFormat="false" ht="15.75" hidden="false" customHeight="false" outlineLevel="0" collapsed="false">
      <c r="A14" s="6" t="s">
        <v>68</v>
      </c>
      <c r="B14" s="6"/>
      <c r="C14" s="6"/>
      <c r="D14" s="6"/>
      <c r="E14" s="6"/>
    </row>
    <row r="15" customFormat="false" ht="21.75" hidden="false" customHeight="true" outlineLevel="0" collapsed="false">
      <c r="A15" s="6" t="s">
        <v>69</v>
      </c>
      <c r="B15" s="6" t="s">
        <v>70</v>
      </c>
      <c r="C15" s="6" t="s">
        <v>71</v>
      </c>
      <c r="D15" s="6" t="s">
        <v>94</v>
      </c>
      <c r="E15" s="6" t="s">
        <v>122</v>
      </c>
    </row>
    <row r="16" customFormat="false" ht="15.75" hidden="false" customHeight="false" outlineLevel="0" collapsed="false">
      <c r="A16" s="30" t="s">
        <v>85</v>
      </c>
      <c r="B16" s="13" t="s">
        <v>123</v>
      </c>
      <c r="C16" s="13" t="s">
        <v>124</v>
      </c>
      <c r="D16" s="13" t="s">
        <v>125</v>
      </c>
      <c r="E16" s="11" t="s">
        <v>126</v>
      </c>
    </row>
    <row r="20" customFormat="false" ht="15.75" hidden="false" customHeight="false" outlineLevel="0" collapsed="false">
      <c r="A20" s="2" t="s">
        <v>75</v>
      </c>
    </row>
    <row r="21" customFormat="false" ht="15.75" hidden="false" customHeight="false" outlineLevel="0" collapsed="false">
      <c r="A21" s="2" t="s">
        <v>76</v>
      </c>
      <c r="B21" s="2" t="s">
        <v>77</v>
      </c>
      <c r="C21" s="2" t="s">
        <v>78</v>
      </c>
      <c r="D21" s="2" t="s">
        <v>79</v>
      </c>
    </row>
    <row r="22" customFormat="false" ht="15.75" hidden="false" customHeight="false" outlineLevel="0" collapsed="false">
      <c r="A22" s="29" t="s">
        <v>127</v>
      </c>
      <c r="B22" s="29" t="s">
        <v>15</v>
      </c>
      <c r="C22" s="29" t="s">
        <v>128</v>
      </c>
      <c r="D22" s="17" t="s">
        <v>35</v>
      </c>
    </row>
    <row r="23" customFormat="false" ht="15.75" hidden="false" customHeight="false" outlineLevel="0" collapsed="false">
      <c r="B23" s="29"/>
      <c r="C23" s="29"/>
      <c r="D23" s="29"/>
      <c r="E23" s="17"/>
    </row>
    <row r="24" customFormat="false" ht="15.75" hidden="false" customHeight="false" outlineLevel="0" collapsed="false">
      <c r="C24" s="29"/>
    </row>
  </sheetData>
  <mergeCells count="2">
    <mergeCell ref="B3:G3"/>
    <mergeCell ref="A14:C14"/>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20.51"/>
    <col collapsed="false" customWidth="true" hidden="false" outlineLevel="0" max="2" min="2" style="1" width="17.38"/>
    <col collapsed="false" customWidth="true" hidden="false" outlineLevel="0" max="3" min="3" style="1" width="17.75"/>
    <col collapsed="false" customWidth="true" hidden="false" outlineLevel="0" max="4" min="4" style="1" width="17.25"/>
    <col collapsed="false" customWidth="true" hidden="false" outlineLevel="0" max="5" min="5" style="1" width="18.13"/>
    <col collapsed="false" customWidth="true" hidden="false" outlineLevel="0" max="6" min="6" style="1" width="18.5"/>
    <col collapsed="false" customWidth="true" hidden="false" outlineLevel="0" max="7" min="7" style="1" width="25.63"/>
    <col collapsed="false" customWidth="true" hidden="false" outlineLevel="0" max="8" min="8" style="1" width="14"/>
    <col collapsed="false" customWidth="true" hidden="false" outlineLevel="0" max="9" min="9" style="1" width="15.51"/>
    <col collapsed="false" customWidth="true" hidden="false" outlineLevel="0" max="10" min="10" style="1" width="28.88"/>
    <col collapsed="false" customWidth="true" hidden="false" outlineLevel="0" max="12" min="12" style="1" width="2.75"/>
    <col collapsed="false" customWidth="true" hidden="false" outlineLevel="0" max="13" min="13" style="1" width="2.5"/>
    <col collapsed="false" customWidth="true" hidden="false" outlineLevel="0" max="14" min="14" style="1" width="2.63"/>
    <col collapsed="false" customWidth="true" hidden="false" outlineLevel="0" max="16" min="15" style="1" width="3.13"/>
    <col collapsed="false" customWidth="true" hidden="false" outlineLevel="0" max="17" min="17" style="1" width="2.88"/>
    <col collapsed="false" customWidth="true" hidden="false" outlineLevel="0" max="18" min="18" style="1" width="2"/>
    <col collapsed="false" customWidth="true" hidden="false" outlineLevel="0" max="19" min="19" style="1" width="3"/>
    <col collapsed="false" customWidth="true" hidden="false" outlineLevel="0" max="25" min="20" style="1" width="2.75"/>
    <col collapsed="false" customWidth="true" hidden="false" outlineLevel="0" max="26" min="26" style="1" width="2.63"/>
  </cols>
  <sheetData>
    <row r="1" customFormat="false" ht="15.75" hidden="false" customHeight="false" outlineLevel="0" collapsed="false">
      <c r="B1" s="2"/>
    </row>
    <row r="2" customFormat="false" ht="15.75" hidden="false" customHeight="false" outlineLevel="0" collapsed="false">
      <c r="B2" s="2" t="s">
        <v>59</v>
      </c>
    </row>
    <row r="3" customFormat="false" ht="15.75" hidden="false" customHeight="false" outlineLevel="0" collapsed="false">
      <c r="A3" s="6"/>
      <c r="B3" s="6" t="s">
        <v>60</v>
      </c>
      <c r="C3" s="6"/>
      <c r="D3" s="6"/>
      <c r="E3" s="6"/>
      <c r="F3" s="6"/>
      <c r="G3" s="6"/>
      <c r="H3" s="6"/>
    </row>
    <row r="4" customFormat="false" ht="15.75" hidden="false" customHeight="false" outlineLevel="0" collapsed="false">
      <c r="A4" s="2"/>
      <c r="B4" s="2"/>
      <c r="C4" s="2"/>
      <c r="D4" s="2"/>
      <c r="E4" s="2"/>
      <c r="F4" s="2"/>
      <c r="G4" s="2"/>
      <c r="H4" s="2"/>
    </row>
    <row r="5" customFormat="false" ht="22.5" hidden="false" customHeight="true" outlineLevel="0" collapsed="false">
      <c r="A5" s="3" t="s">
        <v>1</v>
      </c>
      <c r="B5" s="3" t="s">
        <v>61</v>
      </c>
      <c r="C5" s="3" t="s">
        <v>62</v>
      </c>
      <c r="D5" s="3" t="s">
        <v>63</v>
      </c>
      <c r="E5" s="3" t="s">
        <v>64</v>
      </c>
      <c r="F5" s="3" t="s">
        <v>65</v>
      </c>
      <c r="G5" s="3" t="s">
        <v>66</v>
      </c>
      <c r="H5" s="3" t="s">
        <v>67</v>
      </c>
    </row>
    <row r="6" customFormat="false" ht="22.5" hidden="false" customHeight="true" outlineLevel="0" collapsed="false">
      <c r="A6" s="7" t="n">
        <v>-1</v>
      </c>
      <c r="B6" s="7" t="n">
        <v>82</v>
      </c>
      <c r="C6" s="7" t="n">
        <v>111</v>
      </c>
      <c r="D6" s="7" t="n">
        <f aca="false">AVERAGE(B6:C6)</f>
        <v>96.5</v>
      </c>
      <c r="E6" s="7" t="n">
        <f aca="false">ROUND(F6*H6,0)</f>
        <v>63</v>
      </c>
      <c r="F6" s="7" t="n">
        <f aca="false">ROUND(F7 * 0.9,0)</f>
        <v>126</v>
      </c>
      <c r="G6" s="7" t="n">
        <f aca="false">AVERAGE(E6:F6)</f>
        <v>94.5</v>
      </c>
      <c r="H6" s="7" t="n">
        <v>0.5</v>
      </c>
    </row>
    <row r="7" customFormat="false" ht="22.5" hidden="false" customHeight="true" outlineLevel="0" collapsed="false">
      <c r="A7" s="7" t="n">
        <v>0</v>
      </c>
      <c r="B7" s="7" t="n">
        <v>84</v>
      </c>
      <c r="C7" s="7" t="n">
        <v>118</v>
      </c>
      <c r="D7" s="7" t="n">
        <f aca="false">AVERAGE(B7:C7)</f>
        <v>101</v>
      </c>
      <c r="E7" s="7" t="n">
        <f aca="false">ROUND(F7*H7,0)</f>
        <v>70</v>
      </c>
      <c r="F7" s="7" t="n">
        <v>140</v>
      </c>
      <c r="G7" s="7" t="n">
        <f aca="false">AVERAGE(E7:F7)</f>
        <v>105</v>
      </c>
      <c r="H7" s="7" t="n">
        <v>0.5</v>
      </c>
    </row>
    <row r="8" customFormat="false" ht="22.5" hidden="false" customHeight="true" outlineLevel="0" collapsed="false">
      <c r="A8" s="7" t="n">
        <v>1</v>
      </c>
      <c r="B8" s="7" t="n">
        <v>88</v>
      </c>
      <c r="C8" s="7" t="n">
        <v>132</v>
      </c>
      <c r="D8" s="7" t="n">
        <f aca="false">AVERAGE(B8:C8)</f>
        <v>110</v>
      </c>
      <c r="E8" s="7" t="n">
        <f aca="false">ROUND(F8*H8,0)</f>
        <v>77</v>
      </c>
      <c r="F8" s="7" t="n">
        <f aca="false">ROUND(F7*1.1,0)</f>
        <v>154</v>
      </c>
      <c r="G8" s="7" t="n">
        <f aca="false">AVERAGE(E8:F8)</f>
        <v>115.5</v>
      </c>
      <c r="H8" s="7" t="n">
        <v>0.5</v>
      </c>
    </row>
    <row r="9" customFormat="false" ht="22.5" hidden="false" customHeight="true" outlineLevel="0" collapsed="false">
      <c r="A9" s="7" t="n">
        <v>2</v>
      </c>
      <c r="B9" s="7" t="n">
        <v>92</v>
      </c>
      <c r="C9" s="7" t="n">
        <v>148</v>
      </c>
      <c r="D9" s="7" t="n">
        <f aca="false">AVERAGE(B9:C9)</f>
        <v>120</v>
      </c>
      <c r="E9" s="7" t="n">
        <f aca="false">ROUND(F9*H9,0)</f>
        <v>85</v>
      </c>
      <c r="F9" s="7" t="n">
        <f aca="false">ROUND(F8*1.1,0)</f>
        <v>169</v>
      </c>
      <c r="G9" s="7" t="n">
        <f aca="false">AVERAGE(E9:F9)</f>
        <v>127</v>
      </c>
      <c r="H9" s="7" t="n">
        <v>0.5</v>
      </c>
    </row>
    <row r="10" customFormat="false" ht="15.75" hidden="false" customHeight="true" outlineLevel="0" collapsed="false">
      <c r="A10" s="7" t="n">
        <v>3</v>
      </c>
      <c r="B10" s="7" t="n">
        <v>97</v>
      </c>
      <c r="C10" s="7" t="n">
        <v>166</v>
      </c>
      <c r="D10" s="7" t="n">
        <f aca="false">AVERAGE(B10:C10)</f>
        <v>131.5</v>
      </c>
      <c r="E10" s="7" t="n">
        <f aca="false">ROUND(F10*H10,0)</f>
        <v>93</v>
      </c>
      <c r="F10" s="7" t="n">
        <f aca="false">ROUND(F9*1.1,0)</f>
        <v>186</v>
      </c>
      <c r="G10" s="7" t="n">
        <f aca="false">AVERAGE(E10:F10)</f>
        <v>139.5</v>
      </c>
      <c r="H10" s="7" t="n">
        <v>0.5</v>
      </c>
      <c r="L10" s="9"/>
      <c r="M10" s="9"/>
      <c r="N10" s="9"/>
      <c r="O10" s="9"/>
      <c r="P10" s="9"/>
      <c r="Q10" s="9"/>
      <c r="R10" s="9"/>
      <c r="T10" s="9"/>
      <c r="U10" s="9"/>
      <c r="V10" s="9"/>
      <c r="W10" s="9"/>
      <c r="X10" s="9"/>
      <c r="Y10" s="9"/>
      <c r="Z10" s="9"/>
    </row>
    <row r="11" customFormat="false" ht="22.5" hidden="false" customHeight="true" outlineLevel="0" collapsed="false">
      <c r="A11" s="7" t="n">
        <v>4</v>
      </c>
      <c r="B11" s="7" t="n">
        <v>102</v>
      </c>
      <c r="C11" s="7" t="n">
        <v>186</v>
      </c>
      <c r="D11" s="7" t="n">
        <f aca="false">AVERAGE(B11:C11)</f>
        <v>144</v>
      </c>
      <c r="E11" s="7" t="n">
        <f aca="false">ROUND(F11*H11,0)</f>
        <v>103</v>
      </c>
      <c r="F11" s="7" t="n">
        <f aca="false">ROUND(F10*1.1,0)</f>
        <v>205</v>
      </c>
      <c r="G11" s="7" t="n">
        <f aca="false">AVERAGE(E11:F11)</f>
        <v>154</v>
      </c>
      <c r="H11" s="7" t="n">
        <v>0.5</v>
      </c>
    </row>
    <row r="12" customFormat="false" ht="22.5" hidden="false" customHeight="true" outlineLevel="0" collapsed="false">
      <c r="A12" s="7" t="n">
        <v>5</v>
      </c>
      <c r="B12" s="7" t="n">
        <v>107</v>
      </c>
      <c r="C12" s="7" t="n">
        <v>208</v>
      </c>
      <c r="D12" s="7" t="n">
        <f aca="false">AVERAGE(B12:C12)</f>
        <v>157.5</v>
      </c>
      <c r="E12" s="7" t="n">
        <f aca="false">ROUND(F12*H12,0)</f>
        <v>113</v>
      </c>
      <c r="F12" s="7" t="n">
        <f aca="false">ROUND(F11*1.1,0)</f>
        <v>226</v>
      </c>
      <c r="G12" s="7" t="n">
        <f aca="false">AVERAGE(E12:F12)</f>
        <v>169.5</v>
      </c>
      <c r="H12" s="7" t="n">
        <v>0.5</v>
      </c>
    </row>
    <row r="14" customFormat="false" ht="15.75" hidden="false" customHeight="false" outlineLevel="0" collapsed="false">
      <c r="A14" s="18" t="s">
        <v>68</v>
      </c>
      <c r="B14" s="18"/>
      <c r="C14" s="18"/>
      <c r="D14" s="18"/>
    </row>
    <row r="15" customFormat="false" ht="15.75" hidden="false" customHeight="false" outlineLevel="0" collapsed="false">
      <c r="A15" s="6" t="s">
        <v>69</v>
      </c>
      <c r="B15" s="6" t="s">
        <v>70</v>
      </c>
      <c r="C15" s="18" t="s">
        <v>71</v>
      </c>
      <c r="D15" s="8" t="s">
        <v>94</v>
      </c>
      <c r="L15" s="23"/>
      <c r="M15" s="23"/>
      <c r="N15" s="23"/>
      <c r="O15" s="23"/>
      <c r="P15" s="23"/>
    </row>
    <row r="16" customFormat="false" ht="15.75" hidden="false" customHeight="false" outlineLevel="0" collapsed="false">
      <c r="A16" s="13" t="s">
        <v>129</v>
      </c>
      <c r="B16" s="13" t="s">
        <v>130</v>
      </c>
      <c r="C16" s="20" t="s">
        <v>131</v>
      </c>
      <c r="D16" s="24" t="s">
        <v>132</v>
      </c>
    </row>
    <row r="20" customFormat="false" ht="15.75" hidden="false" customHeight="false" outlineLevel="0" collapsed="false">
      <c r="A20" s="2" t="s">
        <v>84</v>
      </c>
    </row>
    <row r="21" customFormat="false" ht="15.75" hidden="false" customHeight="false" outlineLevel="0" collapsed="false">
      <c r="A21" s="2" t="s">
        <v>76</v>
      </c>
      <c r="B21" s="2" t="s">
        <v>77</v>
      </c>
      <c r="C21" s="2" t="s">
        <v>78</v>
      </c>
      <c r="D21" s="2" t="s">
        <v>79</v>
      </c>
    </row>
    <row r="22" customFormat="false" ht="15.75" hidden="false" customHeight="false" outlineLevel="0" collapsed="false">
      <c r="A22" s="29" t="s">
        <v>17</v>
      </c>
      <c r="B22" s="29" t="s">
        <v>133</v>
      </c>
      <c r="C22" s="29" t="s">
        <v>134</v>
      </c>
      <c r="D22" s="17" t="s">
        <v>128</v>
      </c>
    </row>
  </sheetData>
  <mergeCells count="4">
    <mergeCell ref="B3:G3"/>
    <mergeCell ref="L10:R10"/>
    <mergeCell ref="T10:Z10"/>
    <mergeCell ref="A14:D14"/>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20.51"/>
    <col collapsed="false" customWidth="true" hidden="false" outlineLevel="0" max="2" min="2" style="1" width="17.38"/>
    <col collapsed="false" customWidth="true" hidden="false" outlineLevel="0" max="3" min="3" style="1" width="17.75"/>
    <col collapsed="false" customWidth="true" hidden="false" outlineLevel="0" max="4" min="4" style="1" width="17.25"/>
    <col collapsed="false" customWidth="true" hidden="false" outlineLevel="0" max="5" min="5" style="1" width="18.13"/>
    <col collapsed="false" customWidth="true" hidden="false" outlineLevel="0" max="6" min="6" style="1" width="18.5"/>
    <col collapsed="false" customWidth="true" hidden="false" outlineLevel="0" max="7" min="7" style="1" width="25.63"/>
    <col collapsed="false" customWidth="true" hidden="false" outlineLevel="0" max="8" min="8" style="1" width="14"/>
    <col collapsed="false" customWidth="true" hidden="false" outlineLevel="0" max="9" min="9" style="1" width="15.51"/>
    <col collapsed="false" customWidth="true" hidden="false" outlineLevel="0" max="10" min="10" style="1" width="28.88"/>
    <col collapsed="false" customWidth="true" hidden="false" outlineLevel="0" max="12" min="12" style="1" width="2.75"/>
    <col collapsed="false" customWidth="true" hidden="false" outlineLevel="0" max="13" min="13" style="1" width="2.5"/>
    <col collapsed="false" customWidth="true" hidden="false" outlineLevel="0" max="14" min="14" style="1" width="2.63"/>
    <col collapsed="false" customWidth="true" hidden="false" outlineLevel="0" max="16" min="15" style="1" width="3.13"/>
    <col collapsed="false" customWidth="true" hidden="false" outlineLevel="0" max="17" min="17" style="1" width="2.88"/>
    <col collapsed="false" customWidth="true" hidden="false" outlineLevel="0" max="18" min="18" style="1" width="2"/>
  </cols>
  <sheetData>
    <row r="1" customFormat="false" ht="15.75" hidden="false" customHeight="false" outlineLevel="0" collapsed="false">
      <c r="B1" s="2"/>
    </row>
    <row r="2" customFormat="false" ht="15.75" hidden="false" customHeight="false" outlineLevel="0" collapsed="false">
      <c r="B2" s="2" t="s">
        <v>59</v>
      </c>
    </row>
    <row r="3" customFormat="false" ht="15.75" hidden="false" customHeight="false" outlineLevel="0" collapsed="false">
      <c r="A3" s="6"/>
      <c r="B3" s="6" t="s">
        <v>60</v>
      </c>
      <c r="C3" s="6"/>
      <c r="D3" s="6"/>
      <c r="E3" s="6"/>
      <c r="F3" s="6"/>
      <c r="G3" s="6"/>
      <c r="H3" s="6"/>
    </row>
    <row r="4" customFormat="false" ht="15.75" hidden="false" customHeight="false" outlineLevel="0" collapsed="false">
      <c r="A4" s="2"/>
      <c r="B4" s="2"/>
      <c r="C4" s="2"/>
      <c r="D4" s="2"/>
      <c r="E4" s="2"/>
      <c r="F4" s="2"/>
      <c r="G4" s="2"/>
      <c r="H4" s="2"/>
    </row>
    <row r="5" customFormat="false" ht="22.5" hidden="false" customHeight="true" outlineLevel="0" collapsed="false">
      <c r="A5" s="3" t="s">
        <v>1</v>
      </c>
      <c r="B5" s="3" t="s">
        <v>61</v>
      </c>
      <c r="C5" s="3" t="s">
        <v>62</v>
      </c>
      <c r="D5" s="3" t="s">
        <v>63</v>
      </c>
      <c r="E5" s="3" t="s">
        <v>64</v>
      </c>
      <c r="F5" s="3" t="s">
        <v>65</v>
      </c>
      <c r="G5" s="3" t="s">
        <v>66</v>
      </c>
      <c r="H5" s="3" t="s">
        <v>67</v>
      </c>
    </row>
    <row r="6" customFormat="false" ht="22.5" hidden="false" customHeight="true" outlineLevel="0" collapsed="false">
      <c r="A6" s="7" t="n">
        <v>-1</v>
      </c>
      <c r="B6" s="7" t="n">
        <v>76</v>
      </c>
      <c r="C6" s="7" t="n">
        <v>113</v>
      </c>
      <c r="D6" s="7" t="n">
        <f aca="false">AVERAGE(B6:C6)</f>
        <v>94.5</v>
      </c>
      <c r="E6" s="7" t="n">
        <f aca="false">ROUND(F6*H6,0)</f>
        <v>61</v>
      </c>
      <c r="F6" s="7" t="n">
        <f aca="false">ROUND(F7 * 0.9,0)</f>
        <v>122</v>
      </c>
      <c r="G6" s="7" t="n">
        <f aca="false">AVERAGE(E6:F6)</f>
        <v>91.5</v>
      </c>
      <c r="H6" s="7" t="n">
        <v>0.5</v>
      </c>
    </row>
    <row r="7" customFormat="false" ht="22.5" hidden="false" customHeight="true" outlineLevel="0" collapsed="false">
      <c r="A7" s="7" t="n">
        <v>0</v>
      </c>
      <c r="B7" s="7" t="n">
        <v>78</v>
      </c>
      <c r="C7" s="7" t="n">
        <v>120</v>
      </c>
      <c r="D7" s="7" t="n">
        <f aca="false">AVERAGE(B7:C7)</f>
        <v>99</v>
      </c>
      <c r="E7" s="7" t="n">
        <f aca="false">ROUND(F7*H7,0)</f>
        <v>68</v>
      </c>
      <c r="F7" s="7" t="n">
        <v>136</v>
      </c>
      <c r="G7" s="7" t="n">
        <f aca="false">AVERAGE(E7:F7)</f>
        <v>102</v>
      </c>
      <c r="H7" s="7" t="n">
        <v>0.5</v>
      </c>
    </row>
    <row r="8" customFormat="false" ht="22.5" hidden="false" customHeight="true" outlineLevel="0" collapsed="false">
      <c r="A8" s="7" t="n">
        <v>1</v>
      </c>
      <c r="B8" s="7" t="n">
        <v>82</v>
      </c>
      <c r="C8" s="7" t="n">
        <v>134</v>
      </c>
      <c r="D8" s="7" t="n">
        <f aca="false">AVERAGE(B8:C8)</f>
        <v>108</v>
      </c>
      <c r="E8" s="7" t="n">
        <f aca="false">ROUND(F8*H8,0)</f>
        <v>75</v>
      </c>
      <c r="F8" s="7" t="n">
        <f aca="false">ROUND(F7*1.1,0)</f>
        <v>150</v>
      </c>
      <c r="G8" s="7" t="n">
        <f aca="false">AVERAGE(E8:F8)</f>
        <v>112.5</v>
      </c>
      <c r="H8" s="7" t="n">
        <v>0.5</v>
      </c>
    </row>
    <row r="9" customFormat="false" ht="22.5" hidden="false" customHeight="true" outlineLevel="0" collapsed="false">
      <c r="A9" s="7" t="n">
        <v>2</v>
      </c>
      <c r="B9" s="7" t="n">
        <v>86</v>
      </c>
      <c r="C9" s="7" t="n">
        <v>150</v>
      </c>
      <c r="D9" s="7" t="n">
        <f aca="false">AVERAGE(B9:C9)</f>
        <v>118</v>
      </c>
      <c r="E9" s="7" t="n">
        <f aca="false">ROUND(F9*H9,0)</f>
        <v>83</v>
      </c>
      <c r="F9" s="7" t="n">
        <f aca="false">ROUND(F8*1.1,0)</f>
        <v>165</v>
      </c>
      <c r="G9" s="7" t="n">
        <f aca="false">AVERAGE(E9:F9)</f>
        <v>124</v>
      </c>
      <c r="H9" s="7" t="n">
        <v>0.5</v>
      </c>
    </row>
    <row r="10" customFormat="false" ht="22.5" hidden="false" customHeight="true" outlineLevel="0" collapsed="false">
      <c r="A10" s="7" t="n">
        <v>3</v>
      </c>
      <c r="B10" s="7" t="n">
        <v>90</v>
      </c>
      <c r="C10" s="7" t="n">
        <v>168</v>
      </c>
      <c r="D10" s="7" t="n">
        <f aca="false">AVERAGE(B10:C10)</f>
        <v>129</v>
      </c>
      <c r="E10" s="7" t="n">
        <f aca="false">ROUND(F10*H10,0)</f>
        <v>91</v>
      </c>
      <c r="F10" s="7" t="n">
        <f aca="false">ROUND(F9*1.1,0)</f>
        <v>182</v>
      </c>
      <c r="G10" s="7" t="n">
        <f aca="false">AVERAGE(E10:F10)</f>
        <v>136.5</v>
      </c>
      <c r="H10" s="7" t="n">
        <v>0.5</v>
      </c>
    </row>
    <row r="11" customFormat="false" ht="22.5" hidden="false" customHeight="true" outlineLevel="0" collapsed="false">
      <c r="A11" s="7" t="n">
        <v>4</v>
      </c>
      <c r="B11" s="7" t="n">
        <v>95</v>
      </c>
      <c r="C11" s="7" t="n">
        <v>188</v>
      </c>
      <c r="D11" s="7" t="n">
        <f aca="false">AVERAGE(B11:C11)</f>
        <v>141.5</v>
      </c>
      <c r="E11" s="7" t="n">
        <f aca="false">ROUND(F11*H11,0)</f>
        <v>100</v>
      </c>
      <c r="F11" s="7" t="n">
        <f aca="false">ROUND(F10*1.1,0)</f>
        <v>200</v>
      </c>
      <c r="G11" s="7" t="n">
        <f aca="false">AVERAGE(E11:F11)</f>
        <v>150</v>
      </c>
      <c r="H11" s="7" t="n">
        <v>0.5</v>
      </c>
    </row>
    <row r="12" customFormat="false" ht="16.5" hidden="false" customHeight="true" outlineLevel="0" collapsed="false">
      <c r="A12" s="7" t="n">
        <v>5</v>
      </c>
      <c r="B12" s="7" t="n">
        <v>100</v>
      </c>
      <c r="C12" s="7" t="n">
        <v>211</v>
      </c>
      <c r="D12" s="7" t="n">
        <f aca="false">AVERAGE(B12:C12)</f>
        <v>155.5</v>
      </c>
      <c r="E12" s="7" t="n">
        <f aca="false">ROUND(F12*H12,0)</f>
        <v>110</v>
      </c>
      <c r="F12" s="7" t="n">
        <f aca="false">ROUND(F11*1.1,0)</f>
        <v>220</v>
      </c>
      <c r="G12" s="7" t="n">
        <f aca="false">AVERAGE(E12:F12)</f>
        <v>165</v>
      </c>
      <c r="H12" s="7" t="n">
        <v>0.5</v>
      </c>
    </row>
    <row r="13" customFormat="false" ht="16.5" hidden="false" customHeight="true" outlineLevel="0" collapsed="false">
      <c r="L13" s="9"/>
      <c r="M13" s="9"/>
      <c r="N13" s="9"/>
      <c r="O13" s="9"/>
      <c r="P13" s="9"/>
      <c r="Q13" s="9"/>
      <c r="R13" s="9"/>
    </row>
    <row r="14" customFormat="false" ht="15.75" hidden="false" customHeight="false" outlineLevel="0" collapsed="false">
      <c r="A14" s="18" t="s">
        <v>68</v>
      </c>
      <c r="B14" s="18"/>
      <c r="C14" s="18"/>
      <c r="D14" s="18"/>
    </row>
    <row r="15" customFormat="false" ht="15.75" hidden="false" customHeight="false" outlineLevel="0" collapsed="false">
      <c r="A15" s="6" t="s">
        <v>69</v>
      </c>
      <c r="B15" s="6" t="s">
        <v>70</v>
      </c>
      <c r="C15" s="18" t="s">
        <v>71</v>
      </c>
      <c r="D15" s="31" t="s">
        <v>94</v>
      </c>
      <c r="E15" s="2" t="s">
        <v>122</v>
      </c>
    </row>
    <row r="16" customFormat="false" ht="15.75" hidden="false" customHeight="false" outlineLevel="0" collapsed="false">
      <c r="A16" s="13" t="s">
        <v>135</v>
      </c>
      <c r="B16" s="13" t="s">
        <v>136</v>
      </c>
      <c r="C16" s="20" t="s">
        <v>137</v>
      </c>
      <c r="D16" s="21" t="s">
        <v>138</v>
      </c>
      <c r="E16" s="2" t="s">
        <v>139</v>
      </c>
    </row>
    <row r="19" customFormat="false" ht="15.75" hidden="false" customHeight="false" outlineLevel="0" collapsed="false">
      <c r="L19" s="10"/>
      <c r="M19" s="10"/>
    </row>
    <row r="20" customFormat="false" ht="15.75" hidden="false" customHeight="false" outlineLevel="0" collapsed="false">
      <c r="A20" s="2" t="s">
        <v>84</v>
      </c>
    </row>
    <row r="21" customFormat="false" ht="15.75" hidden="false" customHeight="false" outlineLevel="0" collapsed="false">
      <c r="A21" s="2" t="s">
        <v>76</v>
      </c>
      <c r="B21" s="2" t="s">
        <v>77</v>
      </c>
      <c r="C21" s="2" t="s">
        <v>78</v>
      </c>
      <c r="D21" s="2" t="s">
        <v>79</v>
      </c>
    </row>
    <row r="22" customFormat="false" ht="15.75" hidden="false" customHeight="false" outlineLevel="0" collapsed="false">
      <c r="A22" s="29" t="s">
        <v>13</v>
      </c>
      <c r="B22" s="29" t="s">
        <v>101</v>
      </c>
      <c r="C22" s="29" t="s">
        <v>102</v>
      </c>
      <c r="D22" s="17" t="s">
        <v>106</v>
      </c>
    </row>
  </sheetData>
  <mergeCells count="3">
    <mergeCell ref="B3:G3"/>
    <mergeCell ref="L13:R13"/>
    <mergeCell ref="A14:D14"/>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20.51"/>
    <col collapsed="false" customWidth="true" hidden="false" outlineLevel="0" max="2" min="2" style="1" width="17.38"/>
    <col collapsed="false" customWidth="true" hidden="false" outlineLevel="0" max="3" min="3" style="1" width="17.75"/>
    <col collapsed="false" customWidth="true" hidden="false" outlineLevel="0" max="4" min="4" style="1" width="17.25"/>
    <col collapsed="false" customWidth="true" hidden="false" outlineLevel="0" max="5" min="5" style="1" width="18.13"/>
    <col collapsed="false" customWidth="true" hidden="false" outlineLevel="0" max="6" min="6" style="1" width="18.5"/>
    <col collapsed="false" customWidth="true" hidden="false" outlineLevel="0" max="7" min="7" style="1" width="25.63"/>
    <col collapsed="false" customWidth="true" hidden="false" outlineLevel="0" max="9" min="9" style="1" width="21.12"/>
    <col collapsed="false" customWidth="true" hidden="false" outlineLevel="0" max="10" min="10" style="1" width="24.52"/>
  </cols>
  <sheetData>
    <row r="1" customFormat="false" ht="15.75" hidden="false" customHeight="false" outlineLevel="0" collapsed="false">
      <c r="B1" s="2"/>
    </row>
    <row r="2" customFormat="false" ht="15.75" hidden="false" customHeight="false" outlineLevel="0" collapsed="false">
      <c r="B2" s="2" t="s">
        <v>59</v>
      </c>
    </row>
    <row r="3" customFormat="false" ht="15.75" hidden="false" customHeight="false" outlineLevel="0" collapsed="false">
      <c r="A3" s="6"/>
      <c r="B3" s="6" t="s">
        <v>60</v>
      </c>
      <c r="C3" s="6"/>
      <c r="D3" s="6"/>
      <c r="E3" s="6"/>
      <c r="F3" s="6"/>
      <c r="G3" s="6"/>
      <c r="H3" s="6"/>
    </row>
    <row r="4" customFormat="false" ht="15.75" hidden="false" customHeight="false" outlineLevel="0" collapsed="false">
      <c r="A4" s="2"/>
      <c r="B4" s="2"/>
      <c r="C4" s="2"/>
      <c r="D4" s="2"/>
      <c r="E4" s="2"/>
      <c r="F4" s="2"/>
      <c r="G4" s="2"/>
      <c r="H4" s="2"/>
    </row>
    <row r="5" customFormat="false" ht="22.5" hidden="false" customHeight="true" outlineLevel="0" collapsed="false">
      <c r="A5" s="3" t="s">
        <v>1</v>
      </c>
      <c r="B5" s="3" t="s">
        <v>61</v>
      </c>
      <c r="C5" s="3" t="s">
        <v>62</v>
      </c>
      <c r="D5" s="3" t="s">
        <v>63</v>
      </c>
      <c r="E5" s="3" t="s">
        <v>64</v>
      </c>
      <c r="F5" s="3" t="s">
        <v>65</v>
      </c>
      <c r="G5" s="3" t="s">
        <v>66</v>
      </c>
      <c r="H5" s="3" t="s">
        <v>67</v>
      </c>
    </row>
    <row r="6" customFormat="false" ht="22.5" hidden="false" customHeight="true" outlineLevel="0" collapsed="false">
      <c r="A6" s="7" t="n">
        <v>-1</v>
      </c>
      <c r="B6" s="7" t="n">
        <v>47</v>
      </c>
      <c r="C6" s="7" t="n">
        <v>55</v>
      </c>
      <c r="D6" s="7" t="n">
        <f aca="false">AVERAGE(B6:C6)</f>
        <v>51</v>
      </c>
      <c r="E6" s="7" t="n">
        <f aca="false">ROUND(F6*H6,0)</f>
        <v>54</v>
      </c>
      <c r="F6" s="7" t="n">
        <f aca="false">ROUND(F7 * 0.9,0)</f>
        <v>68</v>
      </c>
      <c r="G6" s="7" t="n">
        <f aca="false">AVERAGE(E6:F6)</f>
        <v>61</v>
      </c>
      <c r="H6" s="7" t="n">
        <v>0.8</v>
      </c>
    </row>
    <row r="7" customFormat="false" ht="22.5" hidden="false" customHeight="true" outlineLevel="0" collapsed="false">
      <c r="A7" s="7" t="n">
        <v>0</v>
      </c>
      <c r="B7" s="7" t="n">
        <v>49</v>
      </c>
      <c r="C7" s="7" t="n">
        <v>58</v>
      </c>
      <c r="D7" s="7" t="n">
        <f aca="false">AVERAGE(B7:C7)</f>
        <v>53.5</v>
      </c>
      <c r="E7" s="7" t="n">
        <f aca="false">ROUND(F7*H7,0)</f>
        <v>61</v>
      </c>
      <c r="F7" s="7" t="n">
        <v>76</v>
      </c>
      <c r="G7" s="7" t="n">
        <f aca="false">AVERAGE(E7:F7)</f>
        <v>68.5</v>
      </c>
      <c r="H7" s="7" t="n">
        <v>0.8</v>
      </c>
    </row>
    <row r="8" customFormat="false" ht="22.5" hidden="false" customHeight="true" outlineLevel="0" collapsed="false">
      <c r="A8" s="7" t="n">
        <v>1</v>
      </c>
      <c r="B8" s="7" t="n">
        <v>54</v>
      </c>
      <c r="C8" s="7" t="n">
        <v>64</v>
      </c>
      <c r="D8" s="7" t="n">
        <f aca="false">AVERAGE(B8:C8)</f>
        <v>59</v>
      </c>
      <c r="E8" s="7" t="n">
        <f aca="false">ROUND(F8*H8,0)</f>
        <v>67</v>
      </c>
      <c r="F8" s="7" t="n">
        <f aca="false">ROUND(F7*1.1,0)</f>
        <v>84</v>
      </c>
      <c r="G8" s="7" t="n">
        <f aca="false">AVERAGE(E8:F8)</f>
        <v>75.5</v>
      </c>
      <c r="H8" s="7" t="n">
        <v>0.8</v>
      </c>
    </row>
    <row r="9" customFormat="false" ht="22.5" hidden="false" customHeight="true" outlineLevel="0" collapsed="false">
      <c r="A9" s="7" t="n">
        <v>2</v>
      </c>
      <c r="B9" s="7" t="n">
        <v>59</v>
      </c>
      <c r="C9" s="7" t="n">
        <v>70</v>
      </c>
      <c r="D9" s="7" t="n">
        <f aca="false">AVERAGE(B9:C9)</f>
        <v>64.5</v>
      </c>
      <c r="E9" s="7" t="n">
        <f aca="false">ROUND(F9*H9,0)</f>
        <v>74</v>
      </c>
      <c r="F9" s="7" t="n">
        <f aca="false">ROUND(F8*1.1,0)</f>
        <v>92</v>
      </c>
      <c r="G9" s="7" t="n">
        <f aca="false">AVERAGE(E9:F9)</f>
        <v>83</v>
      </c>
      <c r="H9" s="7" t="n">
        <v>0.8</v>
      </c>
    </row>
    <row r="10" customFormat="false" ht="22.5" hidden="false" customHeight="true" outlineLevel="0" collapsed="false">
      <c r="A10" s="7" t="n">
        <v>3</v>
      </c>
      <c r="B10" s="7" t="n">
        <v>65</v>
      </c>
      <c r="C10" s="7" t="n">
        <v>77</v>
      </c>
      <c r="D10" s="7" t="n">
        <f aca="false">AVERAGE(B10:C10)</f>
        <v>71</v>
      </c>
      <c r="E10" s="7" t="n">
        <f aca="false">ROUND(F10*H10,0)</f>
        <v>81</v>
      </c>
      <c r="F10" s="7" t="n">
        <f aca="false">ROUND(F9*1.1,0)</f>
        <v>101</v>
      </c>
      <c r="G10" s="7" t="n">
        <f aca="false">AVERAGE(E10:F10)</f>
        <v>91</v>
      </c>
      <c r="H10" s="7" t="n">
        <v>0.8</v>
      </c>
    </row>
    <row r="11" customFormat="false" ht="22.5" hidden="false" customHeight="true" outlineLevel="0" collapsed="false">
      <c r="A11" s="7" t="n">
        <v>4</v>
      </c>
      <c r="B11" s="7" t="n">
        <v>72</v>
      </c>
      <c r="C11" s="7" t="n">
        <v>85</v>
      </c>
      <c r="D11" s="7" t="n">
        <f aca="false">AVERAGE(B11:C11)</f>
        <v>78.5</v>
      </c>
      <c r="E11" s="7" t="n">
        <f aca="false">ROUND(F11*H11,0)</f>
        <v>89</v>
      </c>
      <c r="F11" s="7" t="n">
        <f aca="false">ROUND(F10*1.1,0)</f>
        <v>111</v>
      </c>
      <c r="G11" s="7" t="n">
        <f aca="false">AVERAGE(E11:F11)</f>
        <v>100</v>
      </c>
      <c r="H11" s="7" t="n">
        <v>0.8</v>
      </c>
    </row>
    <row r="12" customFormat="false" ht="22.5" hidden="false" customHeight="true" outlineLevel="0" collapsed="false">
      <c r="A12" s="7" t="n">
        <v>5</v>
      </c>
      <c r="B12" s="7" t="n">
        <v>79</v>
      </c>
      <c r="C12" s="7" t="n">
        <v>94</v>
      </c>
      <c r="D12" s="7" t="n">
        <f aca="false">AVERAGE(B12:C12)</f>
        <v>86.5</v>
      </c>
      <c r="E12" s="7" t="n">
        <f aca="false">ROUND(F12*H12,0)</f>
        <v>98</v>
      </c>
      <c r="F12" s="7" t="n">
        <f aca="false">ROUND(F11*1.1,0)</f>
        <v>122</v>
      </c>
      <c r="G12" s="7" t="n">
        <f aca="false">AVERAGE(E12:F12)</f>
        <v>110</v>
      </c>
      <c r="H12" s="7" t="n">
        <v>0.8</v>
      </c>
    </row>
    <row r="14" customFormat="false" ht="11.25" hidden="false" customHeight="true" outlineLevel="0" collapsed="false">
      <c r="K14" s="2"/>
    </row>
    <row r="15" customFormat="false" ht="15.75" hidden="false" customHeight="false" outlineLevel="0" collapsed="false">
      <c r="A15" s="18" t="s">
        <v>68</v>
      </c>
      <c r="B15" s="18"/>
      <c r="C15" s="18"/>
      <c r="L15" s="14"/>
      <c r="M15" s="14"/>
      <c r="N15" s="14"/>
    </row>
    <row r="16" customFormat="false" ht="39" hidden="false" customHeight="true" outlineLevel="0" collapsed="false">
      <c r="A16" s="6" t="s">
        <v>69</v>
      </c>
      <c r="B16" s="6" t="s">
        <v>70</v>
      </c>
      <c r="C16" s="18" t="s">
        <v>71</v>
      </c>
      <c r="L16" s="2"/>
      <c r="M16" s="2"/>
      <c r="N16" s="2"/>
    </row>
    <row r="17" customFormat="false" ht="138" hidden="false" customHeight="true" outlineLevel="0" collapsed="false">
      <c r="A17" s="13" t="s">
        <v>140</v>
      </c>
      <c r="B17" s="13" t="s">
        <v>141</v>
      </c>
      <c r="C17" s="20" t="s">
        <v>85</v>
      </c>
      <c r="L17" s="17"/>
      <c r="M17" s="17"/>
      <c r="N17" s="17"/>
    </row>
    <row r="20" customFormat="false" ht="15.75" hidden="false" customHeight="false" outlineLevel="0" collapsed="false">
      <c r="A20" s="2" t="s">
        <v>84</v>
      </c>
    </row>
    <row r="21" customFormat="false" ht="15.75" hidden="false" customHeight="false" outlineLevel="0" collapsed="false">
      <c r="A21" s="2" t="s">
        <v>76</v>
      </c>
      <c r="B21" s="2" t="s">
        <v>77</v>
      </c>
      <c r="C21" s="2" t="s">
        <v>78</v>
      </c>
      <c r="D21" s="2" t="s">
        <v>79</v>
      </c>
    </row>
    <row r="22" customFormat="false" ht="15.75" hidden="false" customHeight="false" outlineLevel="0" collapsed="false">
      <c r="A22" s="29" t="s">
        <v>121</v>
      </c>
      <c r="B22" s="29" t="s">
        <v>142</v>
      </c>
      <c r="C22" s="29" t="s">
        <v>32</v>
      </c>
      <c r="D22" s="17" t="s">
        <v>13</v>
      </c>
    </row>
  </sheetData>
  <mergeCells count="3">
    <mergeCell ref="B3:G3"/>
    <mergeCell ref="A15:C15"/>
    <mergeCell ref="L15:N15"/>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20.51"/>
    <col collapsed="false" customWidth="true" hidden="false" outlineLevel="0" max="2" min="2" style="1" width="17.38"/>
    <col collapsed="false" customWidth="true" hidden="false" outlineLevel="0" max="3" min="3" style="1" width="17.75"/>
    <col collapsed="false" customWidth="true" hidden="false" outlineLevel="0" max="4" min="4" style="1" width="17.25"/>
    <col collapsed="false" customWidth="true" hidden="false" outlineLevel="0" max="5" min="5" style="1" width="18.13"/>
    <col collapsed="false" customWidth="true" hidden="false" outlineLevel="0" max="6" min="6" style="1" width="18.5"/>
    <col collapsed="false" customWidth="true" hidden="false" outlineLevel="0" max="7" min="7" style="1" width="25.63"/>
    <col collapsed="false" customWidth="true" hidden="false" outlineLevel="0" max="8" min="8" style="1" width="14"/>
    <col collapsed="false" customWidth="true" hidden="false" outlineLevel="0" max="9" min="9" style="1" width="2.75"/>
    <col collapsed="false" customWidth="true" hidden="false" outlineLevel="0" max="10" min="10" style="1" width="2.5"/>
    <col collapsed="false" customWidth="true" hidden="false" outlineLevel="0" max="11" min="11" style="1" width="2.63"/>
    <col collapsed="false" customWidth="true" hidden="false" outlineLevel="0" max="18" min="12" style="1" width="3.13"/>
  </cols>
  <sheetData>
    <row r="1" customFormat="false" ht="15.75" hidden="false" customHeight="false" outlineLevel="0" collapsed="false">
      <c r="B1" s="2"/>
    </row>
    <row r="2" customFormat="false" ht="15.75" hidden="false" customHeight="false" outlineLevel="0" collapsed="false">
      <c r="B2" s="2" t="s">
        <v>59</v>
      </c>
    </row>
    <row r="3" customFormat="false" ht="15.75" hidden="false" customHeight="false" outlineLevel="0" collapsed="false">
      <c r="A3" s="6"/>
      <c r="B3" s="6" t="s">
        <v>60</v>
      </c>
      <c r="C3" s="6"/>
      <c r="D3" s="6"/>
      <c r="E3" s="6"/>
      <c r="F3" s="6"/>
      <c r="G3" s="6"/>
      <c r="H3" s="6"/>
    </row>
    <row r="4" customFormat="false" ht="15.75" hidden="false" customHeight="false" outlineLevel="0" collapsed="false">
      <c r="A4" s="2"/>
      <c r="B4" s="2"/>
      <c r="C4" s="2"/>
      <c r="D4" s="2"/>
      <c r="E4" s="2"/>
      <c r="F4" s="2"/>
      <c r="G4" s="2"/>
      <c r="H4" s="2"/>
    </row>
    <row r="5" customFormat="false" ht="22.5" hidden="false" customHeight="true" outlineLevel="0" collapsed="false">
      <c r="A5" s="3" t="s">
        <v>1</v>
      </c>
      <c r="B5" s="3" t="s">
        <v>61</v>
      </c>
      <c r="C5" s="3" t="s">
        <v>62</v>
      </c>
      <c r="D5" s="3" t="s">
        <v>63</v>
      </c>
      <c r="E5" s="3" t="s">
        <v>64</v>
      </c>
      <c r="F5" s="3" t="s">
        <v>65</v>
      </c>
      <c r="G5" s="3" t="s">
        <v>66</v>
      </c>
      <c r="H5" s="3" t="s">
        <v>67</v>
      </c>
    </row>
    <row r="6" customFormat="false" ht="22.5" hidden="false" customHeight="true" outlineLevel="0" collapsed="false">
      <c r="A6" s="7" t="n">
        <v>-1</v>
      </c>
      <c r="B6" s="7" t="n">
        <v>95</v>
      </c>
      <c r="C6" s="7" t="n">
        <v>123</v>
      </c>
      <c r="D6" s="7" t="n">
        <f aca="false">AVERAGE(B6:C6)</f>
        <v>109</v>
      </c>
      <c r="E6" s="7" t="n">
        <f aca="false">ROUND(F6*H6,0)</f>
        <v>94</v>
      </c>
      <c r="F6" s="7" t="n">
        <f aca="false">ROUND(F7 * 0.9,0)</f>
        <v>117</v>
      </c>
      <c r="G6" s="7" t="n">
        <f aca="false">AVERAGE(E6:F6)</f>
        <v>105.5</v>
      </c>
      <c r="H6" s="7" t="n">
        <v>0.8</v>
      </c>
    </row>
    <row r="7" customFormat="false" ht="22.5" hidden="false" customHeight="true" outlineLevel="0" collapsed="false">
      <c r="A7" s="7" t="n">
        <v>0</v>
      </c>
      <c r="B7" s="7" t="n">
        <v>100</v>
      </c>
      <c r="C7" s="7" t="n">
        <v>130</v>
      </c>
      <c r="D7" s="7" t="n">
        <f aca="false">AVERAGE(B7:C7)</f>
        <v>115</v>
      </c>
      <c r="E7" s="7" t="n">
        <f aca="false">ROUND(F7*H7,0)</f>
        <v>104</v>
      </c>
      <c r="F7" s="7" t="n">
        <v>130</v>
      </c>
      <c r="G7" s="7" t="n">
        <f aca="false">AVERAGE(E7:F7)</f>
        <v>117</v>
      </c>
      <c r="H7" s="7" t="n">
        <v>0.8</v>
      </c>
    </row>
    <row r="8" customFormat="false" ht="22.5" hidden="false" customHeight="true" outlineLevel="0" collapsed="false">
      <c r="A8" s="7" t="n">
        <v>1</v>
      </c>
      <c r="B8" s="7" t="n">
        <v>110</v>
      </c>
      <c r="C8" s="7" t="n">
        <v>143</v>
      </c>
      <c r="D8" s="7" t="n">
        <f aca="false">AVERAGE(B8:C8)</f>
        <v>126.5</v>
      </c>
      <c r="E8" s="7" t="n">
        <f aca="false">ROUND(F8*H8,0)</f>
        <v>114</v>
      </c>
      <c r="F8" s="7" t="n">
        <f aca="false">ROUND(F7*1.1,0)</f>
        <v>143</v>
      </c>
      <c r="G8" s="7" t="n">
        <f aca="false">AVERAGE(E8:F8)</f>
        <v>128.5</v>
      </c>
      <c r="H8" s="7" t="n">
        <v>0.8</v>
      </c>
    </row>
    <row r="9" customFormat="false" ht="22.5" hidden="false" customHeight="true" outlineLevel="0" collapsed="false">
      <c r="A9" s="7" t="n">
        <v>2</v>
      </c>
      <c r="B9" s="7" t="n">
        <v>121</v>
      </c>
      <c r="C9" s="7" t="n">
        <v>157</v>
      </c>
      <c r="D9" s="7" t="n">
        <f aca="false">AVERAGE(B9:C9)</f>
        <v>139</v>
      </c>
      <c r="E9" s="7" t="n">
        <f aca="false">ROUND(F9*H9,0)</f>
        <v>126</v>
      </c>
      <c r="F9" s="7" t="n">
        <f aca="false">ROUND(F8*1.1,0)</f>
        <v>157</v>
      </c>
      <c r="G9" s="7" t="n">
        <f aca="false">AVERAGE(E9:F9)</f>
        <v>141.5</v>
      </c>
      <c r="H9" s="7" t="n">
        <v>0.8</v>
      </c>
    </row>
    <row r="10" customFormat="false" ht="22.5" hidden="false" customHeight="true" outlineLevel="0" collapsed="false">
      <c r="A10" s="7" t="n">
        <v>3</v>
      </c>
      <c r="B10" s="7" t="n">
        <v>133</v>
      </c>
      <c r="C10" s="7" t="n">
        <v>173</v>
      </c>
      <c r="D10" s="7" t="n">
        <f aca="false">AVERAGE(B10:C10)</f>
        <v>153</v>
      </c>
      <c r="E10" s="7" t="n">
        <f aca="false">ROUND(F10*H10,0)</f>
        <v>138</v>
      </c>
      <c r="F10" s="7" t="n">
        <f aca="false">ROUND(F9*1.1,0)</f>
        <v>173</v>
      </c>
      <c r="G10" s="7" t="n">
        <f aca="false">AVERAGE(E10:F10)</f>
        <v>155.5</v>
      </c>
      <c r="H10" s="7" t="n">
        <v>0.8</v>
      </c>
    </row>
    <row r="11" customFormat="false" ht="22.5" hidden="false" customHeight="true" outlineLevel="0" collapsed="false">
      <c r="A11" s="7" t="n">
        <v>4</v>
      </c>
      <c r="B11" s="7" t="n">
        <v>146</v>
      </c>
      <c r="C11" s="7" t="n">
        <v>190</v>
      </c>
      <c r="D11" s="7" t="n">
        <f aca="false">AVERAGE(B11:C11)</f>
        <v>168</v>
      </c>
      <c r="E11" s="7" t="n">
        <f aca="false">ROUND(F11*H11,0)</f>
        <v>152</v>
      </c>
      <c r="F11" s="7" t="n">
        <f aca="false">ROUND(F10*1.1,0)</f>
        <v>190</v>
      </c>
      <c r="G11" s="7" t="n">
        <f aca="false">AVERAGE(E11:F11)</f>
        <v>171</v>
      </c>
      <c r="H11" s="7" t="n">
        <v>0.8</v>
      </c>
    </row>
    <row r="12" customFormat="false" ht="22.5" hidden="false" customHeight="true" outlineLevel="0" collapsed="false">
      <c r="A12" s="7" t="n">
        <v>5</v>
      </c>
      <c r="B12" s="7" t="n">
        <v>161</v>
      </c>
      <c r="C12" s="7" t="n">
        <v>209</v>
      </c>
      <c r="D12" s="7" t="n">
        <f aca="false">AVERAGE(B12:C12)</f>
        <v>185</v>
      </c>
      <c r="E12" s="7" t="n">
        <f aca="false">ROUND(F12*H12,0)</f>
        <v>167</v>
      </c>
      <c r="F12" s="7" t="n">
        <f aca="false">ROUND(F11*1.1,0)</f>
        <v>209</v>
      </c>
      <c r="G12" s="7" t="n">
        <f aca="false">AVERAGE(E12:F12)</f>
        <v>188</v>
      </c>
      <c r="H12" s="7" t="n">
        <v>0.8</v>
      </c>
    </row>
    <row r="14" customFormat="false" ht="15.75" hidden="false" customHeight="false" outlineLevel="0" collapsed="false">
      <c r="A14" s="18" t="s">
        <v>68</v>
      </c>
      <c r="B14" s="18"/>
      <c r="C14" s="18"/>
      <c r="D14" s="18"/>
    </row>
    <row r="15" customFormat="false" ht="15.75" hidden="false" customHeight="false" outlineLevel="0" collapsed="false">
      <c r="A15" s="6" t="s">
        <v>69</v>
      </c>
      <c r="B15" s="6" t="s">
        <v>70</v>
      </c>
      <c r="C15" s="18" t="s">
        <v>71</v>
      </c>
      <c r="D15" s="8" t="s">
        <v>94</v>
      </c>
    </row>
    <row r="16" customFormat="false" ht="154.5" hidden="false" customHeight="true" outlineLevel="0" collapsed="false">
      <c r="A16" s="13" t="s">
        <v>143</v>
      </c>
      <c r="B16" s="13" t="s">
        <v>144</v>
      </c>
      <c r="C16" s="20" t="s">
        <v>145</v>
      </c>
      <c r="D16" s="24" t="s">
        <v>85</v>
      </c>
      <c r="I16" s="2"/>
    </row>
    <row r="17" customFormat="false" ht="15.75" hidden="false" customHeight="false" outlineLevel="0" collapsed="false">
      <c r="A17" s="2"/>
      <c r="L17" s="10"/>
    </row>
    <row r="18" customFormat="false" ht="15.75" hidden="false" customHeight="false" outlineLevel="0" collapsed="false">
      <c r="K18" s="10"/>
      <c r="M18" s="10"/>
    </row>
    <row r="19" customFormat="false" ht="15.75" hidden="false" customHeight="false" outlineLevel="0" collapsed="false">
      <c r="M19" s="10"/>
      <c r="N19" s="10"/>
    </row>
    <row r="20" customFormat="false" ht="15.75" hidden="false" customHeight="false" outlineLevel="0" collapsed="false">
      <c r="A20" s="2" t="s">
        <v>84</v>
      </c>
      <c r="K20" s="10"/>
      <c r="M20" s="10"/>
    </row>
    <row r="21" customFormat="false" ht="15.75" hidden="false" customHeight="false" outlineLevel="0" collapsed="false">
      <c r="A21" s="2" t="s">
        <v>146</v>
      </c>
      <c r="B21" s="2" t="s">
        <v>77</v>
      </c>
      <c r="C21" s="2" t="s">
        <v>78</v>
      </c>
      <c r="D21" s="2" t="s">
        <v>79</v>
      </c>
      <c r="I21" s="23"/>
      <c r="J21" s="23"/>
      <c r="K21" s="23"/>
      <c r="L21" s="10"/>
      <c r="M21" s="23"/>
      <c r="N21" s="23"/>
      <c r="O21" s="23"/>
      <c r="P21" s="23"/>
      <c r="Q21" s="23"/>
      <c r="R21" s="23"/>
    </row>
    <row r="22" customFormat="false" ht="15.75" hidden="false" customHeight="false" outlineLevel="0" collapsed="false">
      <c r="A22" s="2" t="s">
        <v>7</v>
      </c>
      <c r="B22" s="29" t="s">
        <v>15</v>
      </c>
      <c r="C22" s="29" t="s">
        <v>105</v>
      </c>
      <c r="D22" s="17" t="s">
        <v>147</v>
      </c>
      <c r="L22" s="10"/>
    </row>
    <row r="23" customFormat="false" ht="15.75" hidden="false" customHeight="false" outlineLevel="0" collapsed="false">
      <c r="L23" s="10"/>
    </row>
  </sheetData>
  <mergeCells count="2">
    <mergeCell ref="B3:G3"/>
    <mergeCell ref="A14:D14"/>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20.51"/>
    <col collapsed="false" customWidth="true" hidden="false" outlineLevel="0" max="2" min="2" style="1" width="17.38"/>
    <col collapsed="false" customWidth="true" hidden="false" outlineLevel="0" max="3" min="3" style="1" width="17.75"/>
    <col collapsed="false" customWidth="true" hidden="false" outlineLevel="0" max="4" min="4" style="1" width="17.25"/>
    <col collapsed="false" customWidth="true" hidden="false" outlineLevel="0" max="5" min="5" style="1" width="18.13"/>
    <col collapsed="false" customWidth="true" hidden="false" outlineLevel="0" max="6" min="6" style="1" width="18.5"/>
    <col collapsed="false" customWidth="true" hidden="false" outlineLevel="0" max="7" min="7" style="1" width="25.63"/>
    <col collapsed="false" customWidth="true" hidden="false" outlineLevel="0" max="10" min="10" style="1" width="24.52"/>
    <col collapsed="false" customWidth="true" hidden="false" outlineLevel="0" max="18" min="11" style="1" width="2.75"/>
    <col collapsed="false" customWidth="true" hidden="false" outlineLevel="0" max="19" min="19" style="1" width="2.25"/>
  </cols>
  <sheetData>
    <row r="1" customFormat="false" ht="15.75" hidden="false" customHeight="false" outlineLevel="0" collapsed="false">
      <c r="B1" s="2"/>
    </row>
    <row r="2" customFormat="false" ht="15.75" hidden="false" customHeight="false" outlineLevel="0" collapsed="false">
      <c r="B2" s="2" t="s">
        <v>59</v>
      </c>
    </row>
    <row r="3" customFormat="false" ht="15.75" hidden="false" customHeight="false" outlineLevel="0" collapsed="false">
      <c r="A3" s="6"/>
      <c r="B3" s="6" t="s">
        <v>60</v>
      </c>
      <c r="C3" s="6"/>
      <c r="D3" s="6"/>
      <c r="E3" s="6"/>
      <c r="F3" s="6"/>
      <c r="G3" s="6"/>
      <c r="H3" s="6"/>
    </row>
    <row r="4" customFormat="false" ht="15.75" hidden="false" customHeight="false" outlineLevel="0" collapsed="false">
      <c r="A4" s="2"/>
      <c r="B4" s="2"/>
      <c r="C4" s="2"/>
      <c r="D4" s="2"/>
      <c r="E4" s="2"/>
      <c r="F4" s="2"/>
      <c r="G4" s="2"/>
      <c r="H4" s="2"/>
    </row>
    <row r="5" customFormat="false" ht="22.5" hidden="false" customHeight="true" outlineLevel="0" collapsed="false">
      <c r="A5" s="3" t="s">
        <v>1</v>
      </c>
      <c r="B5" s="3" t="s">
        <v>61</v>
      </c>
      <c r="C5" s="3" t="s">
        <v>62</v>
      </c>
      <c r="D5" s="3" t="s">
        <v>63</v>
      </c>
      <c r="E5" s="3" t="s">
        <v>64</v>
      </c>
      <c r="F5" s="3" t="s">
        <v>65</v>
      </c>
      <c r="G5" s="3" t="s">
        <v>66</v>
      </c>
      <c r="H5" s="3" t="s">
        <v>67</v>
      </c>
    </row>
    <row r="6" customFormat="false" ht="22.5" hidden="false" customHeight="true" outlineLevel="0" collapsed="false">
      <c r="A6" s="7" t="n">
        <v>-1</v>
      </c>
      <c r="B6" s="7" t="n">
        <v>67</v>
      </c>
      <c r="C6" s="7" t="n">
        <v>81</v>
      </c>
      <c r="D6" s="7" t="n">
        <f aca="false">AVERAGE(B6:C6)</f>
        <v>74</v>
      </c>
      <c r="E6" s="7" t="n">
        <f aca="false">ROUND(F6*H6,0)</f>
        <v>69</v>
      </c>
      <c r="F6" s="7" t="n">
        <f aca="false">ROUND(F7 * 0.9,0)</f>
        <v>86</v>
      </c>
      <c r="G6" s="7" t="n">
        <f aca="false">AVERAGE(E6:F6)</f>
        <v>77.5</v>
      </c>
      <c r="H6" s="7" t="n">
        <v>0.8</v>
      </c>
    </row>
    <row r="7" customFormat="false" ht="22.5" hidden="false" customHeight="true" outlineLevel="0" collapsed="false">
      <c r="A7" s="7" t="n">
        <v>0</v>
      </c>
      <c r="B7" s="7" t="n">
        <v>70</v>
      </c>
      <c r="C7" s="7" t="n">
        <v>85</v>
      </c>
      <c r="D7" s="7" t="n">
        <f aca="false">AVERAGE(B7:C7)</f>
        <v>77.5</v>
      </c>
      <c r="E7" s="7" t="n">
        <f aca="false">ROUND(F7*H7,0)</f>
        <v>76</v>
      </c>
      <c r="F7" s="7" t="n">
        <v>95</v>
      </c>
      <c r="G7" s="7" t="n">
        <f aca="false">AVERAGE(E7:F7)</f>
        <v>85.5</v>
      </c>
      <c r="H7" s="7" t="n">
        <v>0.8</v>
      </c>
    </row>
    <row r="8" customFormat="false" ht="22.5" hidden="false" customHeight="true" outlineLevel="0" collapsed="false">
      <c r="A8" s="7" t="n">
        <v>1</v>
      </c>
      <c r="B8" s="7" t="n">
        <v>77</v>
      </c>
      <c r="C8" s="7" t="n">
        <v>94</v>
      </c>
      <c r="D8" s="7" t="n">
        <f aca="false">AVERAGE(B8:C8)</f>
        <v>85.5</v>
      </c>
      <c r="E8" s="7" t="n">
        <f aca="false">ROUND(F8*H8,0)</f>
        <v>84</v>
      </c>
      <c r="F8" s="7" t="n">
        <f aca="false">ROUND(F7*1.1,0)</f>
        <v>105</v>
      </c>
      <c r="G8" s="7" t="n">
        <f aca="false">AVERAGE(E8:F8)</f>
        <v>94.5</v>
      </c>
      <c r="H8" s="7" t="n">
        <v>0.8</v>
      </c>
    </row>
    <row r="9" customFormat="false" ht="22.5" hidden="false" customHeight="true" outlineLevel="0" collapsed="false">
      <c r="A9" s="7" t="n">
        <v>2</v>
      </c>
      <c r="B9" s="7" t="n">
        <v>85</v>
      </c>
      <c r="C9" s="7" t="n">
        <v>103</v>
      </c>
      <c r="D9" s="7" t="n">
        <f aca="false">AVERAGE(B9:C9)</f>
        <v>94</v>
      </c>
      <c r="E9" s="7" t="n">
        <f aca="false">ROUND(F9*H9,0)</f>
        <v>93</v>
      </c>
      <c r="F9" s="7" t="n">
        <f aca="false">ROUND(F8*1.1,0)</f>
        <v>116</v>
      </c>
      <c r="G9" s="7" t="n">
        <f aca="false">AVERAGE(E9:F9)</f>
        <v>104.5</v>
      </c>
      <c r="H9" s="7" t="n">
        <v>0.8</v>
      </c>
    </row>
    <row r="10" customFormat="false" ht="22.5" hidden="false" customHeight="true" outlineLevel="0" collapsed="false">
      <c r="A10" s="7" t="n">
        <v>3</v>
      </c>
      <c r="B10" s="7" t="n">
        <v>94</v>
      </c>
      <c r="C10" s="7" t="n">
        <v>113</v>
      </c>
      <c r="D10" s="7" t="n">
        <f aca="false">AVERAGE(B10:C10)</f>
        <v>103.5</v>
      </c>
      <c r="E10" s="7" t="n">
        <f aca="false">ROUND(F10*H10,0)</f>
        <v>102</v>
      </c>
      <c r="F10" s="7" t="n">
        <f aca="false">ROUND(F9*1.1,0)</f>
        <v>128</v>
      </c>
      <c r="G10" s="7" t="n">
        <f aca="false">AVERAGE(E10:F10)</f>
        <v>115</v>
      </c>
      <c r="H10" s="7" t="n">
        <v>0.8</v>
      </c>
    </row>
    <row r="11" customFormat="false" ht="22.5" hidden="false" customHeight="true" outlineLevel="0" collapsed="false">
      <c r="A11" s="7" t="n">
        <v>4</v>
      </c>
      <c r="B11" s="7" t="n">
        <v>103</v>
      </c>
      <c r="C11" s="7" t="n">
        <v>124</v>
      </c>
      <c r="D11" s="7" t="n">
        <f aca="false">AVERAGE(B11:C11)</f>
        <v>113.5</v>
      </c>
      <c r="E11" s="7" t="n">
        <f aca="false">ROUND(F11*H11,0)</f>
        <v>113</v>
      </c>
      <c r="F11" s="7" t="n">
        <f aca="false">ROUND(F10*1.1,0)</f>
        <v>141</v>
      </c>
      <c r="G11" s="7" t="n">
        <f aca="false">AVERAGE(E11:F11)</f>
        <v>127</v>
      </c>
      <c r="H11" s="7" t="n">
        <v>0.8</v>
      </c>
    </row>
    <row r="12" customFormat="false" ht="22.5" hidden="false" customHeight="true" outlineLevel="0" collapsed="false">
      <c r="A12" s="7" t="n">
        <v>5</v>
      </c>
      <c r="B12" s="7" t="n">
        <v>113</v>
      </c>
      <c r="C12" s="7" t="n">
        <v>146</v>
      </c>
      <c r="D12" s="7" t="n">
        <f aca="false">AVERAGE(B12:C12)</f>
        <v>129.5</v>
      </c>
      <c r="E12" s="7" t="n">
        <f aca="false">ROUND(F12*H12,0)</f>
        <v>124</v>
      </c>
      <c r="F12" s="7" t="n">
        <f aca="false">ROUND(F11*1.1,0)</f>
        <v>155</v>
      </c>
      <c r="G12" s="7" t="n">
        <f aca="false">AVERAGE(E12:F12)</f>
        <v>139.5</v>
      </c>
      <c r="H12" s="7" t="n">
        <v>0.8</v>
      </c>
    </row>
    <row r="13" customFormat="false" ht="15.75" hidden="false" customHeight="false" outlineLevel="0" collapsed="false">
      <c r="K13" s="8"/>
      <c r="L13" s="2"/>
    </row>
    <row r="14" customFormat="false" ht="15.75" hidden="false" customHeight="false" outlineLevel="0" collapsed="false">
      <c r="A14" s="6" t="s">
        <v>68</v>
      </c>
      <c r="B14" s="6"/>
      <c r="C14" s="6"/>
      <c r="K14" s="2"/>
    </row>
    <row r="15" customFormat="false" ht="51.75" hidden="false" customHeight="true" outlineLevel="0" collapsed="false">
      <c r="A15" s="6" t="s">
        <v>69</v>
      </c>
      <c r="B15" s="6" t="s">
        <v>70</v>
      </c>
      <c r="C15" s="6" t="s">
        <v>71</v>
      </c>
      <c r="D15" s="6" t="s">
        <v>148</v>
      </c>
    </row>
    <row r="16" customFormat="false" ht="43.5" hidden="false" customHeight="true" outlineLevel="0" collapsed="false">
      <c r="A16" s="11" t="s">
        <v>149</v>
      </c>
      <c r="B16" s="11" t="s">
        <v>150</v>
      </c>
      <c r="C16" s="11" t="s">
        <v>151</v>
      </c>
      <c r="D16" s="11" t="s">
        <v>152</v>
      </c>
      <c r="K16" s="9"/>
      <c r="L16" s="9"/>
      <c r="M16" s="9"/>
      <c r="N16" s="9"/>
      <c r="O16" s="9"/>
    </row>
    <row r="18" customFormat="false" ht="15.75" hidden="false" customHeight="false" outlineLevel="0" collapsed="false">
      <c r="M18" s="10"/>
    </row>
    <row r="19" customFormat="false" ht="15.75" hidden="false" customHeight="false" outlineLevel="0" collapsed="false">
      <c r="M19" s="10"/>
    </row>
    <row r="20" customFormat="false" ht="15.75" hidden="false" customHeight="false" outlineLevel="0" collapsed="false">
      <c r="A20" s="2" t="s">
        <v>84</v>
      </c>
      <c r="M20" s="10"/>
    </row>
    <row r="21" customFormat="false" ht="15.75" hidden="false" customHeight="false" outlineLevel="0" collapsed="false">
      <c r="A21" s="2" t="s">
        <v>76</v>
      </c>
      <c r="B21" s="2" t="s">
        <v>77</v>
      </c>
      <c r="C21" s="2" t="s">
        <v>78</v>
      </c>
      <c r="D21" s="2" t="s">
        <v>79</v>
      </c>
      <c r="M21" s="10"/>
    </row>
    <row r="22" customFormat="false" ht="15.75" hidden="false" customHeight="false" outlineLevel="0" collapsed="false">
      <c r="A22" s="29" t="s">
        <v>15</v>
      </c>
      <c r="B22" s="29" t="s">
        <v>2</v>
      </c>
      <c r="C22" s="29" t="s">
        <v>16</v>
      </c>
      <c r="D22" s="17" t="s">
        <v>34</v>
      </c>
      <c r="M22" s="10"/>
    </row>
    <row r="23" customFormat="false" ht="15.75" hidden="false" customHeight="false" outlineLevel="0" collapsed="false">
      <c r="M23" s="10"/>
    </row>
    <row r="24" customFormat="false" ht="15.75" hidden="false" customHeight="false" outlineLevel="0" collapsed="false">
      <c r="M24" s="10"/>
    </row>
    <row r="25" customFormat="false" ht="15.75" hidden="false" customHeight="false" outlineLevel="0" collapsed="false">
      <c r="M25" s="32"/>
    </row>
  </sheetData>
  <mergeCells count="3">
    <mergeCell ref="B3:G3"/>
    <mergeCell ref="A14:C14"/>
    <mergeCell ref="K16:O16"/>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20.51"/>
    <col collapsed="false" customWidth="true" hidden="false" outlineLevel="0" max="2" min="2" style="1" width="17.38"/>
    <col collapsed="false" customWidth="true" hidden="false" outlineLevel="0" max="3" min="3" style="1" width="17.75"/>
    <col collapsed="false" customWidth="true" hidden="false" outlineLevel="0" max="4" min="4" style="1" width="17.25"/>
    <col collapsed="false" customWidth="true" hidden="false" outlineLevel="0" max="5" min="5" style="1" width="18.13"/>
    <col collapsed="false" customWidth="true" hidden="false" outlineLevel="0" max="6" min="6" style="1" width="18.5"/>
    <col collapsed="false" customWidth="true" hidden="false" outlineLevel="0" max="7" min="7" style="1" width="25.63"/>
    <col collapsed="false" customWidth="true" hidden="false" outlineLevel="0" max="8" min="8" style="1" width="14"/>
    <col collapsed="false" customWidth="true" hidden="false" outlineLevel="0" max="9" min="9" style="1" width="15.51"/>
    <col collapsed="false" customWidth="true" hidden="false" outlineLevel="0" max="10" min="10" style="1" width="28.88"/>
  </cols>
  <sheetData>
    <row r="1" customFormat="false" ht="15.75" hidden="false" customHeight="false" outlineLevel="0" collapsed="false">
      <c r="B1" s="2"/>
    </row>
    <row r="2" customFormat="false" ht="15.75" hidden="false" customHeight="false" outlineLevel="0" collapsed="false">
      <c r="B2" s="2" t="s">
        <v>59</v>
      </c>
    </row>
    <row r="3" customFormat="false" ht="15.75" hidden="false" customHeight="false" outlineLevel="0" collapsed="false">
      <c r="A3" s="6"/>
      <c r="B3" s="6" t="s">
        <v>60</v>
      </c>
      <c r="C3" s="6"/>
      <c r="D3" s="6"/>
      <c r="E3" s="6"/>
      <c r="F3" s="6"/>
      <c r="G3" s="6"/>
      <c r="H3" s="6"/>
    </row>
    <row r="4" customFormat="false" ht="15.75" hidden="false" customHeight="false" outlineLevel="0" collapsed="false">
      <c r="A4" s="2"/>
      <c r="B4" s="2"/>
      <c r="C4" s="2"/>
      <c r="D4" s="2"/>
      <c r="E4" s="2"/>
      <c r="F4" s="2"/>
      <c r="G4" s="2"/>
      <c r="H4" s="2"/>
    </row>
    <row r="5" customFormat="false" ht="22.5" hidden="false" customHeight="true" outlineLevel="0" collapsed="false">
      <c r="A5" s="3" t="s">
        <v>1</v>
      </c>
      <c r="B5" s="3" t="s">
        <v>61</v>
      </c>
      <c r="C5" s="3" t="s">
        <v>62</v>
      </c>
      <c r="D5" s="3" t="s">
        <v>63</v>
      </c>
      <c r="E5" s="3" t="s">
        <v>64</v>
      </c>
      <c r="F5" s="3" t="s">
        <v>65</v>
      </c>
      <c r="G5" s="3" t="s">
        <v>66</v>
      </c>
      <c r="H5" s="3" t="s">
        <v>67</v>
      </c>
    </row>
    <row r="6" customFormat="false" ht="22.5" hidden="false" customHeight="true" outlineLevel="0" collapsed="false">
      <c r="A6" s="7" t="n">
        <v>-1</v>
      </c>
      <c r="B6" s="7" t="n">
        <v>109</v>
      </c>
      <c r="C6" s="7" t="n">
        <v>218</v>
      </c>
      <c r="D6" s="7" t="n">
        <f aca="false">AVERAGE(B6:C6)</f>
        <v>163.5</v>
      </c>
      <c r="E6" s="7" t="n">
        <f aca="false">ROUND(F6*H6,0)</f>
        <v>99</v>
      </c>
      <c r="F6" s="7" t="n">
        <f aca="false">ROUND(F7 * 0.9,0)</f>
        <v>153</v>
      </c>
      <c r="G6" s="7" t="n">
        <f aca="false">AVERAGE(E6:F6)</f>
        <v>126</v>
      </c>
      <c r="H6" s="7" t="n">
        <v>0.65</v>
      </c>
    </row>
    <row r="7" customFormat="false" ht="22.5" hidden="false" customHeight="true" outlineLevel="0" collapsed="false">
      <c r="A7" s="7" t="n">
        <v>0</v>
      </c>
      <c r="B7" s="7" t="n">
        <v>145</v>
      </c>
      <c r="C7" s="7" t="n">
        <v>185</v>
      </c>
      <c r="D7" s="7" t="n">
        <f aca="false">AVERAGE(B7:C7)</f>
        <v>165</v>
      </c>
      <c r="E7" s="7" t="n">
        <f aca="false">ROUND(F7*H7,0)</f>
        <v>111</v>
      </c>
      <c r="F7" s="7" t="n">
        <v>170</v>
      </c>
      <c r="G7" s="7" t="n">
        <f aca="false">AVERAGE(E7:F7)</f>
        <v>140.5</v>
      </c>
      <c r="H7" s="7" t="n">
        <v>0.65</v>
      </c>
    </row>
    <row r="8" customFormat="false" ht="22.5" hidden="false" customHeight="true" outlineLevel="0" collapsed="false">
      <c r="A8" s="7" t="n">
        <v>1</v>
      </c>
      <c r="B8" s="7" t="n">
        <v>160</v>
      </c>
      <c r="C8" s="7" t="n">
        <v>204</v>
      </c>
      <c r="D8" s="7" t="n">
        <f aca="false">AVERAGE(B8:C8)</f>
        <v>182</v>
      </c>
      <c r="E8" s="7" t="n">
        <f aca="false">ROUND(F8*H8,0)</f>
        <v>122</v>
      </c>
      <c r="F8" s="7" t="n">
        <f aca="false">ROUND(F7*1.1,0)</f>
        <v>187</v>
      </c>
      <c r="G8" s="7" t="n">
        <f aca="false">AVERAGE(E8:F8)</f>
        <v>154.5</v>
      </c>
      <c r="H8" s="7" t="n">
        <v>0.65</v>
      </c>
    </row>
    <row r="9" customFormat="false" ht="22.5" hidden="false" customHeight="true" outlineLevel="0" collapsed="false">
      <c r="A9" s="7" t="n">
        <v>2</v>
      </c>
      <c r="B9" s="7" t="n">
        <v>176</v>
      </c>
      <c r="C9" s="7" t="n">
        <v>224</v>
      </c>
      <c r="D9" s="7" t="n">
        <f aca="false">AVERAGE(B9:C9)</f>
        <v>200</v>
      </c>
      <c r="E9" s="7" t="n">
        <f aca="false">ROUND(F9*H9,0)</f>
        <v>134</v>
      </c>
      <c r="F9" s="7" t="n">
        <f aca="false">ROUND(F8*1.1,0)</f>
        <v>206</v>
      </c>
      <c r="G9" s="7" t="n">
        <f aca="false">AVERAGE(E9:F9)</f>
        <v>170</v>
      </c>
      <c r="H9" s="7" t="n">
        <v>0.65</v>
      </c>
    </row>
    <row r="10" customFormat="false" ht="22.5" hidden="false" customHeight="true" outlineLevel="0" collapsed="false">
      <c r="A10" s="7" t="n">
        <v>3</v>
      </c>
      <c r="B10" s="7" t="n">
        <v>194</v>
      </c>
      <c r="C10" s="7" t="n">
        <v>246</v>
      </c>
      <c r="D10" s="7" t="n">
        <f aca="false">AVERAGE(B10:C10)</f>
        <v>220</v>
      </c>
      <c r="E10" s="7" t="n">
        <f aca="false">ROUND(F10*H10,0)</f>
        <v>148</v>
      </c>
      <c r="F10" s="7" t="n">
        <f aca="false">ROUND(F9*1.1,0)</f>
        <v>227</v>
      </c>
      <c r="G10" s="7" t="n">
        <f aca="false">AVERAGE(E10:F10)</f>
        <v>187.5</v>
      </c>
      <c r="H10" s="7" t="n">
        <v>0.65</v>
      </c>
    </row>
    <row r="11" customFormat="false" ht="22.5" hidden="false" customHeight="true" outlineLevel="0" collapsed="false">
      <c r="A11" s="7" t="n">
        <v>4</v>
      </c>
      <c r="B11" s="7" t="n">
        <v>213</v>
      </c>
      <c r="C11" s="7" t="n">
        <v>271</v>
      </c>
      <c r="D11" s="7" t="n">
        <f aca="false">AVERAGE(B11:C11)</f>
        <v>242</v>
      </c>
      <c r="E11" s="7" t="n">
        <f aca="false">ROUND(F11*H11,0)</f>
        <v>163</v>
      </c>
      <c r="F11" s="7" t="n">
        <f aca="false">ROUND(F10*1.1,0)</f>
        <v>250</v>
      </c>
      <c r="G11" s="7" t="n">
        <f aca="false">AVERAGE(E11:F11)</f>
        <v>206.5</v>
      </c>
      <c r="H11" s="7" t="n">
        <v>0.65</v>
      </c>
    </row>
    <row r="12" customFormat="false" ht="22.5" hidden="false" customHeight="true" outlineLevel="0" collapsed="false">
      <c r="A12" s="7" t="n">
        <v>5</v>
      </c>
      <c r="B12" s="7" t="n">
        <v>234</v>
      </c>
      <c r="C12" s="7" t="n">
        <v>298</v>
      </c>
      <c r="D12" s="7" t="n">
        <f aca="false">AVERAGE(B12:C12)</f>
        <v>266</v>
      </c>
      <c r="E12" s="7" t="n">
        <f aca="false">ROUND(F12*H12,0)</f>
        <v>179</v>
      </c>
      <c r="F12" s="7" t="n">
        <f aca="false">ROUND(F11*1.1,0)</f>
        <v>275</v>
      </c>
      <c r="G12" s="7" t="n">
        <f aca="false">AVERAGE(E12:F12)</f>
        <v>227</v>
      </c>
      <c r="H12" s="7" t="n">
        <v>0.65</v>
      </c>
    </row>
    <row r="13" customFormat="false" ht="16.5" hidden="false" customHeight="true" outlineLevel="0" collapsed="false"/>
    <row r="14" customFormat="false" ht="15.75" hidden="false" customHeight="false" outlineLevel="0" collapsed="false">
      <c r="A14" s="18" t="s">
        <v>68</v>
      </c>
      <c r="B14" s="18"/>
      <c r="C14" s="18"/>
      <c r="D14" s="18"/>
    </row>
    <row r="15" customFormat="false" ht="15.75" hidden="false" customHeight="false" outlineLevel="0" collapsed="false">
      <c r="A15" s="6" t="s">
        <v>69</v>
      </c>
      <c r="B15" s="6" t="s">
        <v>70</v>
      </c>
      <c r="C15" s="18" t="s">
        <v>71</v>
      </c>
      <c r="D15" s="31" t="s">
        <v>94</v>
      </c>
      <c r="E15" s="2" t="s">
        <v>122</v>
      </c>
    </row>
    <row r="16" customFormat="false" ht="135.75" hidden="false" customHeight="true" outlineLevel="0" collapsed="false">
      <c r="A16" s="13" t="s">
        <v>153</v>
      </c>
      <c r="B16" s="13" t="s">
        <v>154</v>
      </c>
      <c r="C16" s="20" t="s">
        <v>155</v>
      </c>
      <c r="D16" s="13" t="s">
        <v>156</v>
      </c>
      <c r="E16" s="17" t="s">
        <v>157</v>
      </c>
    </row>
    <row r="17" customFormat="false" ht="15.75" hidden="false" customHeight="false" outlineLevel="0" collapsed="false">
      <c r="A17" s="2"/>
      <c r="I17" s="2"/>
    </row>
    <row r="20" customFormat="false" ht="15.75" hidden="false" customHeight="false" outlineLevel="0" collapsed="false">
      <c r="A20" s="2" t="s">
        <v>84</v>
      </c>
    </row>
    <row r="21" customFormat="false" ht="15.75" hidden="false" customHeight="false" outlineLevel="0" collapsed="false">
      <c r="A21" s="2" t="s">
        <v>76</v>
      </c>
      <c r="B21" s="2" t="s">
        <v>77</v>
      </c>
      <c r="C21" s="2" t="s">
        <v>78</v>
      </c>
      <c r="D21" s="2" t="s">
        <v>79</v>
      </c>
    </row>
    <row r="22" customFormat="false" ht="15.75" hidden="false" customHeight="false" outlineLevel="0" collapsed="false">
      <c r="A22" s="29" t="s">
        <v>128</v>
      </c>
      <c r="B22" s="29" t="s">
        <v>101</v>
      </c>
      <c r="C22" s="29" t="s">
        <v>121</v>
      </c>
      <c r="D22" s="17" t="s">
        <v>158</v>
      </c>
    </row>
  </sheetData>
  <mergeCells count="2">
    <mergeCell ref="B3:G3"/>
    <mergeCell ref="A14:D14"/>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2"/>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E6" activeCellId="0" sqref="E6"/>
    </sheetView>
  </sheetViews>
  <sheetFormatPr defaultColWidth="12.6328125" defaultRowHeight="15.75" zeroHeight="false" outlineLevelRow="0" outlineLevelCol="0"/>
  <cols>
    <col collapsed="false" customWidth="true" hidden="false" outlineLevel="0" max="1" min="1" style="1" width="20.51"/>
    <col collapsed="false" customWidth="true" hidden="false" outlineLevel="0" max="2" min="2" style="1" width="17.38"/>
    <col collapsed="false" customWidth="true" hidden="false" outlineLevel="0" max="3" min="3" style="1" width="17.75"/>
    <col collapsed="false" customWidth="true" hidden="false" outlineLevel="0" max="4" min="4" style="1" width="17.25"/>
    <col collapsed="false" customWidth="true" hidden="false" outlineLevel="0" max="5" min="5" style="1" width="18.13"/>
    <col collapsed="false" customWidth="true" hidden="false" outlineLevel="0" max="6" min="6" style="1" width="18.5"/>
    <col collapsed="false" customWidth="true" hidden="false" outlineLevel="0" max="7" min="7" style="1" width="25.63"/>
    <col collapsed="false" customWidth="true" hidden="false" outlineLevel="0" max="8" min="8" style="1" width="14"/>
    <col collapsed="false" customWidth="true" hidden="false" outlineLevel="0" max="9" min="9" style="1" width="15.51"/>
    <col collapsed="false" customWidth="true" hidden="false" outlineLevel="0" max="10" min="10" style="1" width="28.88"/>
    <col collapsed="false" customWidth="true" hidden="false" outlineLevel="0" max="15" min="12" style="1" width="3.13"/>
  </cols>
  <sheetData>
    <row r="1" customFormat="false" ht="15.75" hidden="false" customHeight="false" outlineLevel="0" collapsed="false">
      <c r="B1" s="2"/>
    </row>
    <row r="2" customFormat="false" ht="15.75" hidden="false" customHeight="false" outlineLevel="0" collapsed="false">
      <c r="B2" s="2" t="s">
        <v>59</v>
      </c>
    </row>
    <row r="3" customFormat="false" ht="15.75" hidden="false" customHeight="false" outlineLevel="0" collapsed="false">
      <c r="A3" s="6"/>
      <c r="B3" s="6" t="s">
        <v>60</v>
      </c>
      <c r="C3" s="6"/>
      <c r="D3" s="6"/>
      <c r="E3" s="6"/>
      <c r="F3" s="6"/>
      <c r="G3" s="6"/>
      <c r="H3" s="6"/>
    </row>
    <row r="4" customFormat="false" ht="15.75" hidden="false" customHeight="false" outlineLevel="0" collapsed="false">
      <c r="A4" s="2"/>
      <c r="B4" s="2"/>
      <c r="C4" s="2"/>
      <c r="D4" s="2"/>
      <c r="E4" s="2"/>
      <c r="F4" s="2"/>
      <c r="G4" s="2"/>
      <c r="H4" s="2"/>
    </row>
    <row r="5" customFormat="false" ht="22.5" hidden="false" customHeight="true" outlineLevel="0" collapsed="false">
      <c r="A5" s="3" t="s">
        <v>1</v>
      </c>
      <c r="B5" s="3" t="s">
        <v>61</v>
      </c>
      <c r="C5" s="3" t="s">
        <v>62</v>
      </c>
      <c r="D5" s="3" t="s">
        <v>63</v>
      </c>
      <c r="E5" s="3" t="s">
        <v>64</v>
      </c>
      <c r="F5" s="3" t="s">
        <v>65</v>
      </c>
      <c r="G5" s="3" t="s">
        <v>66</v>
      </c>
      <c r="H5" s="3" t="s">
        <v>67</v>
      </c>
    </row>
    <row r="6" customFormat="false" ht="22.5" hidden="false" customHeight="true" outlineLevel="0" collapsed="false">
      <c r="A6" s="7" t="n">
        <v>-1</v>
      </c>
      <c r="B6" s="7" t="n">
        <v>67</v>
      </c>
      <c r="C6" s="7" t="n">
        <v>110</v>
      </c>
      <c r="D6" s="7" t="n">
        <f aca="false">AVERAGE(B6:C6)</f>
        <v>88.5</v>
      </c>
      <c r="E6" s="7" t="n">
        <f aca="false">ROUND(F6*H6,0)</f>
        <v>78</v>
      </c>
      <c r="F6" s="7" t="n">
        <f aca="false">ROUND(F7 * 0.9,0)</f>
        <v>156</v>
      </c>
      <c r="G6" s="7" t="n">
        <f aca="false">AVERAGE(E6:F6)</f>
        <v>117</v>
      </c>
      <c r="H6" s="7" t="n">
        <v>0.5</v>
      </c>
    </row>
    <row r="7" customFormat="false" ht="22.5" hidden="false" customHeight="true" outlineLevel="0" collapsed="false">
      <c r="A7" s="7" t="n">
        <v>0</v>
      </c>
      <c r="B7" s="7" t="n">
        <v>74</v>
      </c>
      <c r="C7" s="7" t="n">
        <v>117</v>
      </c>
      <c r="D7" s="7" t="n">
        <f aca="false">AVERAGE(B7:C7)</f>
        <v>95.5</v>
      </c>
      <c r="E7" s="7" t="n">
        <f aca="false">ROUND(F7*H7,0)</f>
        <v>87</v>
      </c>
      <c r="F7" s="7" t="n">
        <v>173</v>
      </c>
      <c r="G7" s="7" t="n">
        <f aca="false">AVERAGE(E7:F7)</f>
        <v>130</v>
      </c>
      <c r="H7" s="7" t="n">
        <v>0.5</v>
      </c>
    </row>
    <row r="8" customFormat="false" ht="22.5" hidden="false" customHeight="true" outlineLevel="0" collapsed="false">
      <c r="A8" s="7" t="n">
        <v>1</v>
      </c>
      <c r="B8" s="7" t="n">
        <v>82</v>
      </c>
      <c r="C8" s="7" t="n">
        <v>130</v>
      </c>
      <c r="D8" s="7" t="n">
        <f aca="false">AVERAGE(B8:C8)</f>
        <v>106</v>
      </c>
      <c r="E8" s="7" t="n">
        <f aca="false">ROUND(F8*H8,0)</f>
        <v>95</v>
      </c>
      <c r="F8" s="7" t="n">
        <f aca="false">ROUND(F7*1.1,0)</f>
        <v>190</v>
      </c>
      <c r="G8" s="7" t="n">
        <f aca="false">AVERAGE(E8:F8)</f>
        <v>142.5</v>
      </c>
      <c r="H8" s="7" t="n">
        <v>0.5</v>
      </c>
    </row>
    <row r="9" customFormat="false" ht="22.5" hidden="false" customHeight="true" outlineLevel="0" collapsed="false">
      <c r="A9" s="7" t="n">
        <v>2</v>
      </c>
      <c r="B9" s="7" t="n">
        <v>91</v>
      </c>
      <c r="C9" s="7" t="n">
        <v>144</v>
      </c>
      <c r="D9" s="7" t="n">
        <f aca="false">AVERAGE(B9:C9)</f>
        <v>117.5</v>
      </c>
      <c r="E9" s="7" t="n">
        <f aca="false">ROUND(F9*H9,0)</f>
        <v>105</v>
      </c>
      <c r="F9" s="7" t="n">
        <f aca="false">ROUND(F8*1.1,0)</f>
        <v>209</v>
      </c>
      <c r="G9" s="7" t="n">
        <f aca="false">AVERAGE(E9:F9)</f>
        <v>157</v>
      </c>
      <c r="H9" s="7" t="n">
        <v>0.5</v>
      </c>
    </row>
    <row r="10" customFormat="false" ht="22.5" hidden="false" customHeight="true" outlineLevel="0" collapsed="false">
      <c r="A10" s="7" t="n">
        <v>3</v>
      </c>
      <c r="B10" s="7" t="n">
        <v>101</v>
      </c>
      <c r="C10" s="7" t="n">
        <v>160</v>
      </c>
      <c r="D10" s="7" t="n">
        <f aca="false">AVERAGE(B10:C10)</f>
        <v>130.5</v>
      </c>
      <c r="E10" s="7" t="n">
        <f aca="false">ROUND(F10*H10,0)</f>
        <v>115</v>
      </c>
      <c r="F10" s="7" t="n">
        <f aca="false">ROUND(F9*1.1,0)</f>
        <v>230</v>
      </c>
      <c r="G10" s="7" t="n">
        <f aca="false">AVERAGE(E10:F10)</f>
        <v>172.5</v>
      </c>
      <c r="H10" s="7" t="n">
        <v>0.5</v>
      </c>
    </row>
    <row r="11" customFormat="false" ht="22.5" hidden="false" customHeight="true" outlineLevel="0" collapsed="false">
      <c r="A11" s="7" t="n">
        <v>4</v>
      </c>
      <c r="B11" s="7" t="n">
        <v>112</v>
      </c>
      <c r="C11" s="7" t="n">
        <v>178</v>
      </c>
      <c r="D11" s="7" t="n">
        <f aca="false">AVERAGE(B11:C11)</f>
        <v>145</v>
      </c>
      <c r="E11" s="7" t="n">
        <f aca="false">ROUND(F11*H11,0)</f>
        <v>127</v>
      </c>
      <c r="F11" s="7" t="n">
        <f aca="false">ROUND(F10*1.1,0)</f>
        <v>253</v>
      </c>
      <c r="G11" s="7" t="n">
        <f aca="false">AVERAGE(E11:F11)</f>
        <v>190</v>
      </c>
      <c r="H11" s="7" t="n">
        <v>0.5</v>
      </c>
    </row>
    <row r="12" customFormat="false" ht="22.5" hidden="false" customHeight="true" outlineLevel="0" collapsed="false">
      <c r="A12" s="7" t="n">
        <v>5</v>
      </c>
      <c r="B12" s="7" t="n">
        <v>124</v>
      </c>
      <c r="C12" s="7" t="n">
        <v>198</v>
      </c>
      <c r="D12" s="7" t="n">
        <f aca="false">AVERAGE(B12:C12)</f>
        <v>161</v>
      </c>
      <c r="E12" s="7" t="n">
        <f aca="false">ROUND(F12*H12,0)</f>
        <v>139</v>
      </c>
      <c r="F12" s="7" t="n">
        <f aca="false">ROUND(F11*1.1,0)</f>
        <v>278</v>
      </c>
      <c r="G12" s="7" t="n">
        <f aca="false">AVERAGE(E12:F12)</f>
        <v>208.5</v>
      </c>
      <c r="H12" s="7" t="n">
        <v>0.5</v>
      </c>
    </row>
    <row r="14" customFormat="false" ht="15.75" hidden="false" customHeight="false" outlineLevel="0" collapsed="false">
      <c r="A14" s="18" t="s">
        <v>68</v>
      </c>
      <c r="B14" s="18"/>
      <c r="C14" s="18"/>
      <c r="D14" s="18"/>
    </row>
    <row r="15" customFormat="false" ht="15.75" hidden="false" customHeight="false" outlineLevel="0" collapsed="false">
      <c r="A15" s="6" t="s">
        <v>69</v>
      </c>
      <c r="B15" s="6" t="s">
        <v>70</v>
      </c>
      <c r="C15" s="18" t="s">
        <v>71</v>
      </c>
      <c r="D15" s="8" t="s">
        <v>94</v>
      </c>
      <c r="E15" s="2" t="s">
        <v>122</v>
      </c>
    </row>
    <row r="16" customFormat="false" ht="150.75" hidden="false" customHeight="true" outlineLevel="0" collapsed="false">
      <c r="A16" s="13" t="s">
        <v>85</v>
      </c>
      <c r="B16" s="13" t="s">
        <v>92</v>
      </c>
      <c r="C16" s="20" t="s">
        <v>159</v>
      </c>
      <c r="D16" s="24" t="s">
        <v>160</v>
      </c>
      <c r="E16" s="17" t="s">
        <v>161</v>
      </c>
    </row>
    <row r="17" customFormat="false" ht="15.75" hidden="false" customHeight="false" outlineLevel="0" collapsed="false">
      <c r="A17" s="2"/>
    </row>
    <row r="20" customFormat="false" ht="15.75" hidden="false" customHeight="false" outlineLevel="0" collapsed="false">
      <c r="A20" s="2" t="s">
        <v>84</v>
      </c>
    </row>
    <row r="21" customFormat="false" ht="15.75" hidden="false" customHeight="false" outlineLevel="0" collapsed="false">
      <c r="A21" s="2" t="s">
        <v>76</v>
      </c>
      <c r="B21" s="2" t="s">
        <v>77</v>
      </c>
      <c r="C21" s="2" t="s">
        <v>78</v>
      </c>
      <c r="D21" s="2" t="s">
        <v>79</v>
      </c>
      <c r="L21" s="23"/>
      <c r="M21" s="23"/>
      <c r="N21" s="23"/>
      <c r="O21" s="23"/>
    </row>
    <row r="22" customFormat="false" ht="15.75" hidden="false" customHeight="false" outlineLevel="0" collapsed="false">
      <c r="A22" s="29" t="s">
        <v>9</v>
      </c>
      <c r="B22" s="29" t="s">
        <v>102</v>
      </c>
      <c r="C22" s="29" t="s">
        <v>8</v>
      </c>
      <c r="D22" s="17" t="s">
        <v>2</v>
      </c>
    </row>
  </sheetData>
  <mergeCells count="2">
    <mergeCell ref="B3:G3"/>
    <mergeCell ref="A14:D14"/>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20.51"/>
    <col collapsed="false" customWidth="true" hidden="false" outlineLevel="0" max="2" min="2" style="1" width="17.38"/>
    <col collapsed="false" customWidth="true" hidden="false" outlineLevel="0" max="3" min="3" style="1" width="17.75"/>
    <col collapsed="false" customWidth="true" hidden="false" outlineLevel="0" max="4" min="4" style="1" width="17.25"/>
    <col collapsed="false" customWidth="true" hidden="false" outlineLevel="0" max="5" min="5" style="1" width="18.13"/>
    <col collapsed="false" customWidth="true" hidden="false" outlineLevel="0" max="6" min="6" style="1" width="18.5"/>
    <col collapsed="false" customWidth="true" hidden="false" outlineLevel="0" max="7" min="7" style="1" width="25.63"/>
    <col collapsed="false" customWidth="true" hidden="false" outlineLevel="0" max="12" min="9" style="1" width="2.38"/>
    <col collapsed="false" customWidth="true" hidden="false" outlineLevel="0" max="15" min="13" style="1" width="2.5"/>
    <col collapsed="false" customWidth="true" hidden="false" outlineLevel="0" max="19" min="16" style="1" width="2.63"/>
  </cols>
  <sheetData>
    <row r="1" customFormat="false" ht="15.75" hidden="false" customHeight="false" outlineLevel="0" collapsed="false">
      <c r="B1" s="2"/>
    </row>
    <row r="2" customFormat="false" ht="15.75" hidden="false" customHeight="false" outlineLevel="0" collapsed="false">
      <c r="B2" s="2" t="s">
        <v>59</v>
      </c>
    </row>
    <row r="3" customFormat="false" ht="15.75" hidden="false" customHeight="false" outlineLevel="0" collapsed="false">
      <c r="A3" s="6"/>
      <c r="B3" s="6" t="s">
        <v>60</v>
      </c>
      <c r="C3" s="6"/>
      <c r="D3" s="6"/>
      <c r="E3" s="6"/>
      <c r="F3" s="6"/>
      <c r="G3" s="6"/>
      <c r="H3" s="6"/>
    </row>
    <row r="4" customFormat="false" ht="15.75" hidden="false" customHeight="false" outlineLevel="0" collapsed="false">
      <c r="A4" s="2"/>
      <c r="B4" s="2"/>
      <c r="C4" s="2"/>
      <c r="D4" s="2"/>
      <c r="E4" s="2"/>
      <c r="F4" s="2"/>
      <c r="G4" s="2"/>
      <c r="H4" s="2"/>
      <c r="T4" s="2"/>
      <c r="U4" s="2"/>
    </row>
    <row r="5" customFormat="false" ht="22.5" hidden="false" customHeight="true" outlineLevel="0" collapsed="false">
      <c r="A5" s="3" t="s">
        <v>1</v>
      </c>
      <c r="B5" s="3" t="s">
        <v>61</v>
      </c>
      <c r="C5" s="3" t="s">
        <v>62</v>
      </c>
      <c r="D5" s="3" t="s">
        <v>63</v>
      </c>
      <c r="E5" s="3" t="s">
        <v>64</v>
      </c>
      <c r="F5" s="3" t="s">
        <v>65</v>
      </c>
      <c r="G5" s="3" t="s">
        <v>66</v>
      </c>
      <c r="H5" s="3" t="s">
        <v>67</v>
      </c>
    </row>
    <row r="6" customFormat="false" ht="22.5" hidden="false" customHeight="true" outlineLevel="0" collapsed="false">
      <c r="A6" s="7" t="n">
        <v>-1</v>
      </c>
      <c r="B6" s="7" t="n">
        <v>43</v>
      </c>
      <c r="C6" s="7" t="n">
        <v>63</v>
      </c>
      <c r="D6" s="7" t="n">
        <f aca="false">AVERAGE(B6:C6)</f>
        <v>53</v>
      </c>
      <c r="E6" s="7" t="n">
        <f aca="false">ROUND(F6*H6,0)</f>
        <v>74</v>
      </c>
      <c r="F6" s="7" t="n">
        <f aca="false">ROUND(F7 * 0.9,0)</f>
        <v>92</v>
      </c>
      <c r="G6" s="7" t="n">
        <f aca="false">AVERAGE(E6:F6)</f>
        <v>83</v>
      </c>
      <c r="H6" s="7" t="n">
        <v>0.8</v>
      </c>
    </row>
    <row r="7" customFormat="false" ht="22.5" hidden="false" customHeight="true" outlineLevel="0" collapsed="false">
      <c r="A7" s="7" t="n">
        <v>0</v>
      </c>
      <c r="B7" s="7" t="n">
        <v>46</v>
      </c>
      <c r="C7" s="7" t="n">
        <v>68</v>
      </c>
      <c r="D7" s="7" t="n">
        <f aca="false">AVERAGE(B7:C7)</f>
        <v>57</v>
      </c>
      <c r="E7" s="7" t="n">
        <f aca="false">ROUND(F7*H7,0)</f>
        <v>82</v>
      </c>
      <c r="F7" s="7" t="n">
        <v>102</v>
      </c>
      <c r="G7" s="7" t="n">
        <f aca="false">AVERAGE(E7:F7)</f>
        <v>92</v>
      </c>
      <c r="H7" s="7" t="n">
        <v>0.8</v>
      </c>
    </row>
    <row r="8" customFormat="false" ht="22.5" hidden="false" customHeight="true" outlineLevel="0" collapsed="false">
      <c r="A8" s="7" t="n">
        <v>1</v>
      </c>
      <c r="B8" s="7" t="n">
        <v>51</v>
      </c>
      <c r="C8" s="7" t="n">
        <v>75</v>
      </c>
      <c r="D8" s="7" t="n">
        <f aca="false">AVERAGE(B8:C8)</f>
        <v>63</v>
      </c>
      <c r="E8" s="7" t="n">
        <f aca="false">ROUND(F8*H8,0)</f>
        <v>90</v>
      </c>
      <c r="F8" s="7" t="n">
        <f aca="false">ROUND(F7*1.1,0)</f>
        <v>112</v>
      </c>
      <c r="G8" s="7" t="n">
        <f aca="false">AVERAGE(E8:F8)</f>
        <v>101</v>
      </c>
      <c r="H8" s="7" t="n">
        <v>0.8</v>
      </c>
    </row>
    <row r="9" customFormat="false" ht="22.5" hidden="false" customHeight="true" outlineLevel="0" collapsed="false">
      <c r="A9" s="7" t="n">
        <v>2</v>
      </c>
      <c r="B9" s="7" t="n">
        <v>57</v>
      </c>
      <c r="C9" s="7" t="n">
        <v>83</v>
      </c>
      <c r="D9" s="7" t="n">
        <f aca="false">AVERAGE(B9:C9)</f>
        <v>70</v>
      </c>
      <c r="E9" s="7" t="n">
        <f aca="false">ROUND(F9*H9,0)</f>
        <v>98</v>
      </c>
      <c r="F9" s="7" t="n">
        <f aca="false">ROUND(F8*1.1,0)</f>
        <v>123</v>
      </c>
      <c r="G9" s="7" t="n">
        <f aca="false">AVERAGE(E9:F9)</f>
        <v>110.5</v>
      </c>
      <c r="H9" s="7" t="n">
        <v>0.8</v>
      </c>
    </row>
    <row r="10" customFormat="false" ht="22.5" hidden="false" customHeight="true" outlineLevel="0" collapsed="false">
      <c r="A10" s="7" t="n">
        <v>3</v>
      </c>
      <c r="B10" s="7" t="n">
        <v>63</v>
      </c>
      <c r="C10" s="7" t="n">
        <v>92</v>
      </c>
      <c r="D10" s="7" t="n">
        <f aca="false">AVERAGE(B10:C10)</f>
        <v>77.5</v>
      </c>
      <c r="E10" s="7" t="n">
        <f aca="false">ROUND(F10*H10,0)</f>
        <v>108</v>
      </c>
      <c r="F10" s="7" t="n">
        <f aca="false">ROUND(F9*1.1,0)</f>
        <v>135</v>
      </c>
      <c r="G10" s="7" t="n">
        <f aca="false">AVERAGE(E10:F10)</f>
        <v>121.5</v>
      </c>
      <c r="H10" s="7" t="n">
        <v>0.8</v>
      </c>
    </row>
    <row r="11" customFormat="false" ht="22.5" hidden="false" customHeight="true" outlineLevel="0" collapsed="false">
      <c r="A11" s="7" t="n">
        <v>4</v>
      </c>
      <c r="B11" s="7" t="n">
        <v>70</v>
      </c>
      <c r="C11" s="7" t="n">
        <v>102</v>
      </c>
      <c r="D11" s="7" t="n">
        <f aca="false">AVERAGE(B11:C11)</f>
        <v>86</v>
      </c>
      <c r="E11" s="7" t="n">
        <f aca="false">ROUND(F11*H11,0)</f>
        <v>119</v>
      </c>
      <c r="F11" s="7" t="n">
        <f aca="false">ROUND(F10*1.1,0)</f>
        <v>149</v>
      </c>
      <c r="G11" s="7" t="n">
        <f aca="false">AVERAGE(E11:F11)</f>
        <v>134</v>
      </c>
      <c r="H11" s="7" t="n">
        <v>0.8</v>
      </c>
    </row>
    <row r="12" customFormat="false" ht="22.5" hidden="false" customHeight="true" outlineLevel="0" collapsed="false">
      <c r="A12" s="7" t="n">
        <v>5</v>
      </c>
      <c r="B12" s="7" t="n">
        <v>78</v>
      </c>
      <c r="C12" s="7" t="n">
        <v>113</v>
      </c>
      <c r="D12" s="7" t="n">
        <f aca="false">AVERAGE(B12:C12)</f>
        <v>95.5</v>
      </c>
      <c r="E12" s="7" t="n">
        <f aca="false">ROUND(F12*H12,0)</f>
        <v>131</v>
      </c>
      <c r="F12" s="7" t="n">
        <f aca="false">ROUND(F11*1.1,0)</f>
        <v>164</v>
      </c>
      <c r="G12" s="7" t="n">
        <f aca="false">AVERAGE(E12:F12)</f>
        <v>147.5</v>
      </c>
      <c r="H12" s="7" t="n">
        <v>0.8</v>
      </c>
    </row>
    <row r="14" customFormat="false" ht="11.25" hidden="false" customHeight="true" outlineLevel="0" collapsed="false">
      <c r="I14" s="2"/>
    </row>
    <row r="15" customFormat="false" ht="15.75" hidden="false" customHeight="false" outlineLevel="0" collapsed="false">
      <c r="A15" s="6" t="s">
        <v>68</v>
      </c>
      <c r="B15" s="6"/>
      <c r="C15" s="6"/>
      <c r="J15" s="2"/>
      <c r="K15" s="2"/>
      <c r="L15" s="2"/>
    </row>
    <row r="16" customFormat="false" ht="39" hidden="false" customHeight="true" outlineLevel="0" collapsed="false">
      <c r="A16" s="6" t="s">
        <v>69</v>
      </c>
      <c r="B16" s="6" t="s">
        <v>70</v>
      </c>
      <c r="C16" s="6" t="s">
        <v>71</v>
      </c>
      <c r="D16" s="2" t="s">
        <v>114</v>
      </c>
      <c r="J16" s="2"/>
      <c r="K16" s="2"/>
      <c r="L16" s="2"/>
    </row>
    <row r="17" customFormat="false" ht="138" hidden="false" customHeight="true" outlineLevel="0" collapsed="false">
      <c r="A17" s="13" t="s">
        <v>162</v>
      </c>
      <c r="B17" s="13" t="s">
        <v>163</v>
      </c>
      <c r="C17" s="13" t="s">
        <v>164</v>
      </c>
      <c r="D17" s="17" t="s">
        <v>165</v>
      </c>
      <c r="J17" s="17"/>
      <c r="K17" s="17"/>
      <c r="L17" s="17"/>
    </row>
    <row r="18" customFormat="false" ht="15.75" hidden="false" customHeight="false" outlineLevel="0" collapsed="false">
      <c r="H18" s="2" t="s">
        <v>166</v>
      </c>
    </row>
    <row r="19" customFormat="false" ht="15.75" hidden="false" customHeight="false" outlineLevel="0" collapsed="false">
      <c r="O19" s="15"/>
      <c r="P19" s="15"/>
    </row>
    <row r="20" customFormat="false" ht="15.75" hidden="false" customHeight="false" outlineLevel="0" collapsed="false">
      <c r="A20" s="2" t="s">
        <v>84</v>
      </c>
      <c r="N20" s="33"/>
    </row>
    <row r="21" customFormat="false" ht="15.75" hidden="false" customHeight="false" outlineLevel="0" collapsed="false">
      <c r="A21" s="2" t="s">
        <v>76</v>
      </c>
      <c r="B21" s="2" t="s">
        <v>77</v>
      </c>
      <c r="C21" s="2" t="s">
        <v>78</v>
      </c>
      <c r="D21" s="2" t="s">
        <v>79</v>
      </c>
      <c r="M21" s="33"/>
    </row>
    <row r="22" customFormat="false" ht="15.75" hidden="false" customHeight="false" outlineLevel="0" collapsed="false">
      <c r="A22" s="29" t="s">
        <v>121</v>
      </c>
      <c r="B22" s="29" t="s">
        <v>15</v>
      </c>
      <c r="C22" s="29" t="s">
        <v>102</v>
      </c>
      <c r="D22" s="17" t="s">
        <v>101</v>
      </c>
      <c r="M22" s="33"/>
    </row>
    <row r="23" customFormat="false" ht="15.75" hidden="false" customHeight="false" outlineLevel="0" collapsed="false">
      <c r="N23" s="33"/>
    </row>
  </sheetData>
  <mergeCells count="2">
    <mergeCell ref="B3:G3"/>
    <mergeCell ref="A15:C15"/>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25"/>
    <col collapsed="false" customWidth="true" hidden="false" outlineLevel="0" max="2" min="2" style="1" width="17.38"/>
    <col collapsed="false" customWidth="true" hidden="false" outlineLevel="0" max="3" min="3" style="1" width="17.75"/>
    <col collapsed="false" customWidth="true" hidden="false" outlineLevel="0" max="4" min="4" style="1" width="17.25"/>
    <col collapsed="false" customWidth="true" hidden="false" outlineLevel="0" max="5" min="5" style="1" width="18.13"/>
    <col collapsed="false" customWidth="true" hidden="false" outlineLevel="0" max="6" min="6" style="1" width="18.5"/>
    <col collapsed="false" customWidth="true" hidden="false" outlineLevel="0" max="7" min="7" style="1" width="25.63"/>
    <col collapsed="false" customWidth="true" hidden="false" outlineLevel="0" max="9" min="9" style="1" width="16"/>
    <col collapsed="false" customWidth="true" hidden="false" outlineLevel="0" max="10" min="10" style="1" width="24.52"/>
  </cols>
  <sheetData>
    <row r="1" customFormat="false" ht="15.75" hidden="false" customHeight="false" outlineLevel="0" collapsed="false">
      <c r="B1" s="2"/>
    </row>
    <row r="2" customFormat="false" ht="15.75" hidden="false" customHeight="false" outlineLevel="0" collapsed="false">
      <c r="B2" s="2" t="s">
        <v>59</v>
      </c>
    </row>
    <row r="3" customFormat="false" ht="15.75" hidden="false" customHeight="false" outlineLevel="0" collapsed="false">
      <c r="A3" s="6"/>
      <c r="B3" s="6" t="s">
        <v>60</v>
      </c>
      <c r="C3" s="6"/>
      <c r="D3" s="6"/>
      <c r="E3" s="6"/>
      <c r="F3" s="6"/>
      <c r="G3" s="6"/>
      <c r="H3" s="6"/>
    </row>
    <row r="4" customFormat="false" ht="15.75" hidden="false" customHeight="false" outlineLevel="0" collapsed="false">
      <c r="A4" s="2"/>
      <c r="B4" s="2"/>
      <c r="C4" s="2"/>
      <c r="D4" s="2"/>
      <c r="E4" s="2"/>
      <c r="F4" s="2"/>
      <c r="G4" s="2"/>
      <c r="H4" s="2"/>
    </row>
    <row r="5" customFormat="false" ht="22.5" hidden="false" customHeight="true" outlineLevel="0" collapsed="false">
      <c r="A5" s="3" t="s">
        <v>1</v>
      </c>
      <c r="B5" s="3" t="s">
        <v>61</v>
      </c>
      <c r="C5" s="3" t="s">
        <v>62</v>
      </c>
      <c r="D5" s="3" t="s">
        <v>63</v>
      </c>
      <c r="E5" s="3" t="s">
        <v>64</v>
      </c>
      <c r="F5" s="3" t="s">
        <v>65</v>
      </c>
      <c r="G5" s="3" t="s">
        <v>66</v>
      </c>
      <c r="H5" s="3" t="s">
        <v>67</v>
      </c>
    </row>
    <row r="6" customFormat="false" ht="22.5" hidden="false" customHeight="true" outlineLevel="0" collapsed="false">
      <c r="A6" s="7" t="n">
        <v>-1</v>
      </c>
      <c r="B6" s="7" t="n">
        <v>68</v>
      </c>
      <c r="C6" s="7" t="n">
        <v>96</v>
      </c>
      <c r="D6" s="7" t="n">
        <f aca="false">AVERAGE(B6:C6)</f>
        <v>82</v>
      </c>
      <c r="E6" s="7" t="n">
        <f aca="false">ROUND(F6*H6,0)</f>
        <v>64</v>
      </c>
      <c r="F6" s="7" t="n">
        <f aca="false">ROUND(F7 * 0.9,0)</f>
        <v>99</v>
      </c>
      <c r="G6" s="7" t="n">
        <f aca="false">AVERAGE(E6:F6)</f>
        <v>81.5</v>
      </c>
      <c r="H6" s="7" t="n">
        <v>0.65</v>
      </c>
    </row>
    <row r="7" customFormat="false" ht="22.5" hidden="false" customHeight="true" outlineLevel="0" collapsed="false">
      <c r="A7" s="7" t="n">
        <v>0</v>
      </c>
      <c r="B7" s="7" t="n">
        <v>72</v>
      </c>
      <c r="C7" s="7" t="n">
        <v>101</v>
      </c>
      <c r="D7" s="7" t="n">
        <f aca="false">AVERAGE(B7:C7)</f>
        <v>86.5</v>
      </c>
      <c r="E7" s="7" t="n">
        <f aca="false">ROUND(F7*H7,0)</f>
        <v>72</v>
      </c>
      <c r="F7" s="7" t="n">
        <v>110</v>
      </c>
      <c r="G7" s="7" t="n">
        <f aca="false">AVERAGE(E7:F7)</f>
        <v>91</v>
      </c>
      <c r="H7" s="7" t="n">
        <v>0.65</v>
      </c>
    </row>
    <row r="8" customFormat="false" ht="22.5" hidden="false" customHeight="true" outlineLevel="0" collapsed="false">
      <c r="A8" s="7" t="n">
        <v>1</v>
      </c>
      <c r="B8" s="7" t="n">
        <v>80</v>
      </c>
      <c r="C8" s="7" t="n">
        <v>112</v>
      </c>
      <c r="D8" s="7" t="n">
        <f aca="false">AVERAGE(B8:C8)</f>
        <v>96</v>
      </c>
      <c r="E8" s="7" t="n">
        <f aca="false">ROUND(F8*H8,0)</f>
        <v>79</v>
      </c>
      <c r="F8" s="7" t="n">
        <f aca="false">ROUND(F7*1.1,0)</f>
        <v>121</v>
      </c>
      <c r="G8" s="7" t="n">
        <f aca="false">AVERAGE(E8:F8)</f>
        <v>100</v>
      </c>
      <c r="H8" s="7" t="n">
        <v>0.65</v>
      </c>
    </row>
    <row r="9" customFormat="false" ht="22.5" hidden="false" customHeight="true" outlineLevel="0" collapsed="false">
      <c r="A9" s="7" t="n">
        <v>2</v>
      </c>
      <c r="B9" s="7" t="n">
        <v>89</v>
      </c>
      <c r="C9" s="7" t="n">
        <v>124</v>
      </c>
      <c r="D9" s="7" t="n">
        <f aca="false">AVERAGE(B9:C9)</f>
        <v>106.5</v>
      </c>
      <c r="E9" s="7" t="n">
        <f aca="false">ROUND(F9*H9,0)</f>
        <v>86</v>
      </c>
      <c r="F9" s="7" t="n">
        <f aca="false">ROUND(F8*1.1,0)</f>
        <v>133</v>
      </c>
      <c r="G9" s="7" t="n">
        <f aca="false">AVERAGE(E9:F9)</f>
        <v>109.5</v>
      </c>
      <c r="H9" s="7" t="n">
        <v>0.65</v>
      </c>
    </row>
    <row r="10" customFormat="false" ht="22.5" hidden="false" customHeight="true" outlineLevel="0" collapsed="false">
      <c r="A10" s="7" t="n">
        <v>3</v>
      </c>
      <c r="B10" s="7" t="n">
        <v>99</v>
      </c>
      <c r="C10" s="7" t="n">
        <v>138</v>
      </c>
      <c r="D10" s="7" t="n">
        <f aca="false">AVERAGE(B10:C10)</f>
        <v>118.5</v>
      </c>
      <c r="E10" s="7" t="n">
        <f aca="false">ROUND(F10*H10,0)</f>
        <v>95</v>
      </c>
      <c r="F10" s="7" t="n">
        <f aca="false">ROUND(F9*1.1,0)</f>
        <v>146</v>
      </c>
      <c r="G10" s="7" t="n">
        <f aca="false">AVERAGE(E10:F10)</f>
        <v>120.5</v>
      </c>
      <c r="H10" s="7" t="n">
        <v>0.65</v>
      </c>
    </row>
    <row r="11" customFormat="false" ht="22.5" hidden="false" customHeight="true" outlineLevel="0" collapsed="false">
      <c r="A11" s="7" t="n">
        <v>4</v>
      </c>
      <c r="B11" s="7" t="n">
        <v>110</v>
      </c>
      <c r="C11" s="7" t="n">
        <v>153</v>
      </c>
      <c r="D11" s="7" t="n">
        <f aca="false">AVERAGE(B11:C11)</f>
        <v>131.5</v>
      </c>
      <c r="E11" s="7" t="n">
        <f aca="false">ROUND(F11*H11,0)</f>
        <v>105</v>
      </c>
      <c r="F11" s="7" t="n">
        <f aca="false">ROUND(F10*1.1,0)</f>
        <v>161</v>
      </c>
      <c r="G11" s="7" t="n">
        <f aca="false">AVERAGE(E11:F11)</f>
        <v>133</v>
      </c>
      <c r="H11" s="7" t="n">
        <v>0.65</v>
      </c>
    </row>
    <row r="12" customFormat="false" ht="22.5" hidden="false" customHeight="true" outlineLevel="0" collapsed="false">
      <c r="A12" s="7" t="n">
        <v>5</v>
      </c>
      <c r="B12" s="7" t="n">
        <v>122</v>
      </c>
      <c r="C12" s="7" t="n">
        <v>170</v>
      </c>
      <c r="D12" s="7" t="n">
        <f aca="false">AVERAGE(B12:C12)</f>
        <v>146</v>
      </c>
      <c r="E12" s="7" t="n">
        <f aca="false">ROUND(F12*H12,0)</f>
        <v>115</v>
      </c>
      <c r="F12" s="7" t="n">
        <f aca="false">ROUND(F11*1.1,0)</f>
        <v>177</v>
      </c>
      <c r="G12" s="7" t="n">
        <f aca="false">AVERAGE(E12:F12)</f>
        <v>146</v>
      </c>
      <c r="H12" s="7" t="n">
        <v>0.65</v>
      </c>
    </row>
    <row r="14" customFormat="false" ht="15.75" hidden="false" customHeight="false" outlineLevel="0" collapsed="false">
      <c r="K14" s="8"/>
      <c r="L14" s="2"/>
    </row>
    <row r="15" customFormat="false" ht="15.75" hidden="false" customHeight="false" outlineLevel="0" collapsed="false">
      <c r="K15" s="8"/>
    </row>
    <row r="16" customFormat="false" ht="39" hidden="false" customHeight="true" outlineLevel="0" collapsed="false">
      <c r="K16" s="8"/>
    </row>
    <row r="17" customFormat="false" ht="15.75" hidden="false" customHeight="false" outlineLevel="0" collapsed="false">
      <c r="A17" s="6" t="s">
        <v>68</v>
      </c>
      <c r="B17" s="6"/>
      <c r="C17" s="6"/>
    </row>
    <row r="18" customFormat="false" ht="15.75" hidden="false" customHeight="false" outlineLevel="0" collapsed="false">
      <c r="A18" s="6" t="s">
        <v>69</v>
      </c>
      <c r="B18" s="6" t="s">
        <v>70</v>
      </c>
      <c r="C18" s="6" t="s">
        <v>71</v>
      </c>
    </row>
    <row r="19" customFormat="false" ht="15.75" hidden="false" customHeight="false" outlineLevel="0" collapsed="false">
      <c r="A19" s="13" t="s">
        <v>167</v>
      </c>
      <c r="B19" s="13" t="s">
        <v>168</v>
      </c>
      <c r="C19" s="13" t="s">
        <v>169</v>
      </c>
    </row>
    <row r="20" customFormat="false" ht="15.75" hidden="false" customHeight="false" outlineLevel="0" collapsed="false">
      <c r="A20" s="2" t="s">
        <v>84</v>
      </c>
    </row>
    <row r="21" customFormat="false" ht="15.75" hidden="false" customHeight="false" outlineLevel="0" collapsed="false">
      <c r="A21" s="2" t="s">
        <v>170</v>
      </c>
      <c r="B21" s="2" t="s">
        <v>171</v>
      </c>
      <c r="C21" s="2" t="s">
        <v>172</v>
      </c>
      <c r="D21" s="2" t="s">
        <v>173</v>
      </c>
    </row>
    <row r="22" customFormat="false" ht="15.75" hidden="false" customHeight="false" outlineLevel="0" collapsed="false">
      <c r="A22" s="29" t="s">
        <v>133</v>
      </c>
      <c r="B22" s="29" t="s">
        <v>106</v>
      </c>
      <c r="C22" s="29" t="s">
        <v>35</v>
      </c>
      <c r="D22" s="17" t="s">
        <v>16</v>
      </c>
    </row>
  </sheetData>
  <mergeCells count="2">
    <mergeCell ref="B3:G3"/>
    <mergeCell ref="A17:C17"/>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20.51"/>
    <col collapsed="false" customWidth="true" hidden="false" outlineLevel="0" max="2" min="2" style="1" width="17.38"/>
    <col collapsed="false" customWidth="true" hidden="false" outlineLevel="0" max="3" min="3" style="1" width="17.75"/>
    <col collapsed="false" customWidth="true" hidden="false" outlineLevel="0" max="4" min="4" style="1" width="17.25"/>
    <col collapsed="false" customWidth="true" hidden="false" outlineLevel="0" max="5" min="5" style="1" width="18.13"/>
    <col collapsed="false" customWidth="true" hidden="false" outlineLevel="0" max="6" min="6" style="1" width="18.5"/>
    <col collapsed="false" customWidth="true" hidden="false" outlineLevel="0" max="7" min="7" style="1" width="25.63"/>
    <col collapsed="false" customWidth="true" hidden="false" outlineLevel="0" max="16" min="9" style="1" width="2.75"/>
    <col collapsed="false" customWidth="true" hidden="false" outlineLevel="0" max="17" min="17" style="1" width="2.25"/>
  </cols>
  <sheetData>
    <row r="1" customFormat="false" ht="15.75" hidden="false" customHeight="false" outlineLevel="0" collapsed="false">
      <c r="B1" s="2"/>
    </row>
    <row r="2" customFormat="false" ht="15.75" hidden="false" customHeight="false" outlineLevel="0" collapsed="false">
      <c r="B2" s="2" t="s">
        <v>59</v>
      </c>
    </row>
    <row r="3" customFormat="false" ht="15.75" hidden="false" customHeight="false" outlineLevel="0" collapsed="false">
      <c r="A3" s="6"/>
      <c r="B3" s="6" t="s">
        <v>60</v>
      </c>
      <c r="C3" s="6"/>
      <c r="D3" s="6"/>
      <c r="E3" s="6"/>
      <c r="F3" s="6"/>
      <c r="G3" s="6"/>
      <c r="H3" s="6"/>
    </row>
    <row r="4" customFormat="false" ht="15.75" hidden="false" customHeight="false" outlineLevel="0" collapsed="false">
      <c r="A4" s="2"/>
      <c r="B4" s="2"/>
      <c r="C4" s="2"/>
      <c r="D4" s="2"/>
      <c r="E4" s="2"/>
      <c r="F4" s="2"/>
      <c r="G4" s="2"/>
      <c r="H4" s="2"/>
    </row>
    <row r="5" customFormat="false" ht="22.5" hidden="false" customHeight="true" outlineLevel="0" collapsed="false">
      <c r="A5" s="3" t="s">
        <v>1</v>
      </c>
      <c r="B5" s="3" t="s">
        <v>61</v>
      </c>
      <c r="C5" s="3" t="s">
        <v>62</v>
      </c>
      <c r="D5" s="3" t="s">
        <v>63</v>
      </c>
      <c r="E5" s="3" t="s">
        <v>64</v>
      </c>
      <c r="F5" s="3" t="s">
        <v>65</v>
      </c>
      <c r="G5" s="3" t="s">
        <v>66</v>
      </c>
      <c r="H5" s="3" t="s">
        <v>67</v>
      </c>
    </row>
    <row r="6" customFormat="false" ht="22.5" hidden="false" customHeight="true" outlineLevel="0" collapsed="false">
      <c r="A6" s="7" t="n">
        <v>-1</v>
      </c>
      <c r="B6" s="7" t="n">
        <v>57</v>
      </c>
      <c r="C6" s="7" t="n">
        <v>75</v>
      </c>
      <c r="D6" s="7" t="n">
        <f aca="false">AVERAGE(B6:C6)</f>
        <v>66</v>
      </c>
      <c r="E6" s="7" t="n">
        <f aca="false">ROUND(F6*H6,0)</f>
        <v>62</v>
      </c>
      <c r="F6" s="7" t="n">
        <f aca="false">ROUND(F7 * 0.9,0)</f>
        <v>77</v>
      </c>
      <c r="G6" s="7" t="n">
        <f aca="false">AVERAGE(E6:F6)</f>
        <v>69.5</v>
      </c>
      <c r="H6" s="7" t="n">
        <v>0.8</v>
      </c>
    </row>
    <row r="7" customFormat="false" ht="22.5" hidden="false" customHeight="true" outlineLevel="0" collapsed="false">
      <c r="A7" s="7" t="n">
        <v>0</v>
      </c>
      <c r="B7" s="7" t="n">
        <v>60</v>
      </c>
      <c r="C7" s="7" t="n">
        <v>80</v>
      </c>
      <c r="D7" s="7" t="n">
        <f aca="false">AVERAGE(B7:C7)</f>
        <v>70</v>
      </c>
      <c r="E7" s="7" t="n">
        <f aca="false">ROUND(F7*H7,0)</f>
        <v>68</v>
      </c>
      <c r="F7" s="7" t="n">
        <v>85</v>
      </c>
      <c r="G7" s="7" t="n">
        <f aca="false">AVERAGE(E7:F7)</f>
        <v>76.5</v>
      </c>
      <c r="H7" s="7" t="n">
        <v>0.8</v>
      </c>
    </row>
    <row r="8" customFormat="false" ht="22.5" hidden="false" customHeight="true" outlineLevel="0" collapsed="false">
      <c r="A8" s="7" t="n">
        <v>1</v>
      </c>
      <c r="B8" s="7" t="n">
        <v>67</v>
      </c>
      <c r="C8" s="7" t="n">
        <v>90</v>
      </c>
      <c r="D8" s="7" t="n">
        <f aca="false">AVERAGE(B8:C8)</f>
        <v>78.5</v>
      </c>
      <c r="E8" s="7" t="n">
        <f aca="false">ROUND(F8*H8,0)</f>
        <v>75</v>
      </c>
      <c r="F8" s="7" t="n">
        <f aca="false">ROUND(F7*1.1,0)</f>
        <v>94</v>
      </c>
      <c r="G8" s="7" t="n">
        <f aca="false">AVERAGE(E8:F8)</f>
        <v>84.5</v>
      </c>
      <c r="H8" s="7" t="n">
        <v>0.8</v>
      </c>
    </row>
    <row r="9" customFormat="false" ht="22.5" hidden="false" customHeight="true" outlineLevel="0" collapsed="false">
      <c r="A9" s="7" t="n">
        <v>2</v>
      </c>
      <c r="B9" s="7" t="n">
        <v>75</v>
      </c>
      <c r="C9" s="7" t="n">
        <v>101</v>
      </c>
      <c r="D9" s="7" t="n">
        <f aca="false">AVERAGE(B9:C9)</f>
        <v>88</v>
      </c>
      <c r="E9" s="7" t="n">
        <f aca="false">ROUND(F9*H9,0)</f>
        <v>82</v>
      </c>
      <c r="F9" s="7" t="n">
        <f aca="false">ROUND(F8*1.1,0)</f>
        <v>103</v>
      </c>
      <c r="G9" s="7" t="n">
        <f aca="false">AVERAGE(E9:F9)</f>
        <v>92.5</v>
      </c>
      <c r="H9" s="7" t="n">
        <v>0.8</v>
      </c>
    </row>
    <row r="10" customFormat="false" ht="22.5" hidden="false" customHeight="true" outlineLevel="0" collapsed="false">
      <c r="A10" s="7" t="n">
        <v>3</v>
      </c>
      <c r="B10" s="7" t="n">
        <v>84</v>
      </c>
      <c r="C10" s="7" t="n">
        <v>113</v>
      </c>
      <c r="D10" s="7" t="n">
        <f aca="false">AVERAGE(B10:C10)</f>
        <v>98.5</v>
      </c>
      <c r="E10" s="7" t="n">
        <f aca="false">ROUND(F10*H10,0)</f>
        <v>90</v>
      </c>
      <c r="F10" s="7" t="n">
        <f aca="false">ROUND(F9*1.1,0)</f>
        <v>113</v>
      </c>
      <c r="G10" s="7" t="n">
        <f aca="false">AVERAGE(E10:F10)</f>
        <v>101.5</v>
      </c>
      <c r="H10" s="7" t="n">
        <v>0.8</v>
      </c>
    </row>
    <row r="11" customFormat="false" ht="22.5" hidden="false" customHeight="true" outlineLevel="0" collapsed="false">
      <c r="A11" s="7" t="n">
        <v>4</v>
      </c>
      <c r="B11" s="7" t="n">
        <v>94</v>
      </c>
      <c r="C11" s="7" t="n">
        <v>127</v>
      </c>
      <c r="D11" s="7" t="n">
        <f aca="false">AVERAGE(B11:C11)</f>
        <v>110.5</v>
      </c>
      <c r="E11" s="7" t="n">
        <f aca="false">ROUND(F11*H11,0)</f>
        <v>99</v>
      </c>
      <c r="F11" s="7" t="n">
        <f aca="false">ROUND(F10*1.1,0)</f>
        <v>124</v>
      </c>
      <c r="G11" s="7" t="n">
        <f aca="false">AVERAGE(E11:F11)</f>
        <v>111.5</v>
      </c>
      <c r="H11" s="7" t="n">
        <v>0.8</v>
      </c>
    </row>
    <row r="12" customFormat="false" ht="22.5" hidden="false" customHeight="true" outlineLevel="0" collapsed="false">
      <c r="A12" s="7" t="n">
        <v>5</v>
      </c>
      <c r="B12" s="7" t="n">
        <v>105</v>
      </c>
      <c r="C12" s="7" t="n">
        <v>142</v>
      </c>
      <c r="D12" s="7" t="n">
        <f aca="false">AVERAGE(B12:C12)</f>
        <v>123.5</v>
      </c>
      <c r="E12" s="7" t="n">
        <f aca="false">ROUND(F12*H12,0)</f>
        <v>109</v>
      </c>
      <c r="F12" s="7" t="n">
        <f aca="false">ROUND(F11*1.1,0)</f>
        <v>136</v>
      </c>
      <c r="G12" s="7" t="n">
        <f aca="false">AVERAGE(E12:F12)</f>
        <v>122.5</v>
      </c>
      <c r="H12" s="7" t="n">
        <v>0.8</v>
      </c>
    </row>
    <row r="14" customFormat="false" ht="15.75" hidden="false" customHeight="false" outlineLevel="0" collapsed="false">
      <c r="I14" s="8"/>
      <c r="J14" s="2"/>
    </row>
    <row r="15" customFormat="false" ht="15.75" hidden="false" customHeight="false" outlineLevel="0" collapsed="false">
      <c r="I15" s="2"/>
    </row>
    <row r="16" customFormat="false" ht="51.75" hidden="false" customHeight="true" outlineLevel="0" collapsed="false">
      <c r="A16" s="6" t="s">
        <v>68</v>
      </c>
      <c r="B16" s="6"/>
      <c r="C16" s="6"/>
    </row>
    <row r="17" customFormat="false" ht="15.75" hidden="false" customHeight="false" outlineLevel="0" collapsed="false">
      <c r="A17" s="6" t="s">
        <v>69</v>
      </c>
      <c r="B17" s="6" t="s">
        <v>70</v>
      </c>
      <c r="C17" s="6" t="s">
        <v>71</v>
      </c>
      <c r="I17" s="14"/>
      <c r="J17" s="14"/>
      <c r="K17" s="14"/>
      <c r="L17" s="14"/>
      <c r="M17" s="14"/>
    </row>
    <row r="18" customFormat="false" ht="15.75" hidden="false" customHeight="false" outlineLevel="0" collapsed="false">
      <c r="A18" s="13" t="s">
        <v>174</v>
      </c>
      <c r="B18" s="13" t="s">
        <v>175</v>
      </c>
      <c r="C18" s="13" t="s">
        <v>176</v>
      </c>
      <c r="I18" s="14"/>
      <c r="J18" s="14"/>
      <c r="K18" s="14"/>
      <c r="L18" s="14"/>
      <c r="M18" s="14"/>
      <c r="N18" s="14"/>
      <c r="O18" s="14"/>
      <c r="P18" s="14"/>
      <c r="Q18" s="14"/>
    </row>
    <row r="19" customFormat="false" ht="15.75" hidden="false" customHeight="false" outlineLevel="0" collapsed="false">
      <c r="K19" s="10"/>
    </row>
    <row r="20" customFormat="false" ht="15.75" hidden="false" customHeight="false" outlineLevel="0" collapsed="false">
      <c r="A20" s="2" t="s">
        <v>177</v>
      </c>
      <c r="K20" s="10"/>
    </row>
    <row r="21" customFormat="false" ht="15.75" hidden="false" customHeight="false" outlineLevel="0" collapsed="false">
      <c r="A21" s="2" t="s">
        <v>170</v>
      </c>
      <c r="B21" s="2" t="s">
        <v>171</v>
      </c>
      <c r="C21" s="2" t="s">
        <v>172</v>
      </c>
      <c r="D21" s="2" t="s">
        <v>173</v>
      </c>
      <c r="J21" s="14" t="s">
        <v>178</v>
      </c>
      <c r="K21" s="14"/>
      <c r="L21" s="14"/>
      <c r="M21" s="14"/>
    </row>
    <row r="22" customFormat="false" ht="15.75" hidden="false" customHeight="false" outlineLevel="0" collapsed="false">
      <c r="A22" s="29" t="s">
        <v>112</v>
      </c>
      <c r="B22" s="29" t="s">
        <v>102</v>
      </c>
      <c r="C22" s="29" t="s">
        <v>103</v>
      </c>
      <c r="D22" s="17" t="s">
        <v>34</v>
      </c>
    </row>
    <row r="24" customFormat="false" ht="15.75" hidden="false" customHeight="false" outlineLevel="0" collapsed="false">
      <c r="K24" s="16"/>
      <c r="L24" s="16"/>
      <c r="M24" s="16"/>
    </row>
    <row r="25" customFormat="false" ht="15.75" hidden="false" customHeight="false" outlineLevel="0" collapsed="false">
      <c r="K25" s="10"/>
      <c r="L25" s="16"/>
    </row>
    <row r="26" customFormat="false" ht="15.75" hidden="false" customHeight="false" outlineLevel="0" collapsed="false">
      <c r="K26" s="10"/>
      <c r="L26" s="27"/>
    </row>
  </sheetData>
  <mergeCells count="5">
    <mergeCell ref="B3:G3"/>
    <mergeCell ref="A16:C16"/>
    <mergeCell ref="I17:M17"/>
    <mergeCell ref="I18:Q18"/>
    <mergeCell ref="J21:M2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20.51"/>
    <col collapsed="false" customWidth="true" hidden="false" outlineLevel="0" max="2" min="2" style="1" width="17.38"/>
    <col collapsed="false" customWidth="true" hidden="false" outlineLevel="0" max="3" min="3" style="1" width="17.75"/>
    <col collapsed="false" customWidth="true" hidden="false" outlineLevel="0" max="4" min="4" style="1" width="17.25"/>
    <col collapsed="false" customWidth="true" hidden="false" outlineLevel="0" max="5" min="5" style="1" width="18.13"/>
    <col collapsed="false" customWidth="true" hidden="false" outlineLevel="0" max="6" min="6" style="1" width="18.5"/>
    <col collapsed="false" customWidth="true" hidden="false" outlineLevel="0" max="7" min="7" style="1" width="25.63"/>
    <col collapsed="false" customWidth="true" hidden="false" outlineLevel="0" max="8" min="8" style="1" width="14"/>
    <col collapsed="false" customWidth="true" hidden="false" outlineLevel="0" max="9" min="9" style="1" width="15.51"/>
    <col collapsed="false" customWidth="true" hidden="false" outlineLevel="0" max="10" min="10" style="1" width="28.88"/>
    <col collapsed="false" customWidth="true" hidden="false" outlineLevel="0" max="12" min="12" style="1" width="3"/>
  </cols>
  <sheetData>
    <row r="1" customFormat="false" ht="15.75" hidden="false" customHeight="false" outlineLevel="0" collapsed="false">
      <c r="B1" s="2"/>
    </row>
    <row r="2" customFormat="false" ht="15.75" hidden="false" customHeight="false" outlineLevel="0" collapsed="false">
      <c r="B2" s="2" t="s">
        <v>59</v>
      </c>
    </row>
    <row r="3" customFormat="false" ht="15.75" hidden="false" customHeight="false" outlineLevel="0" collapsed="false">
      <c r="A3" s="6"/>
      <c r="B3" s="6" t="s">
        <v>60</v>
      </c>
      <c r="C3" s="6"/>
      <c r="D3" s="6"/>
      <c r="E3" s="6"/>
      <c r="F3" s="6"/>
      <c r="G3" s="6"/>
      <c r="H3" s="6"/>
    </row>
    <row r="4" customFormat="false" ht="15.75" hidden="false" customHeight="false" outlineLevel="0" collapsed="false">
      <c r="A4" s="2"/>
      <c r="B4" s="2"/>
      <c r="C4" s="2"/>
      <c r="D4" s="2"/>
      <c r="E4" s="2"/>
      <c r="F4" s="2"/>
      <c r="G4" s="2"/>
      <c r="H4" s="2"/>
    </row>
    <row r="5" customFormat="false" ht="22.5" hidden="false" customHeight="true" outlineLevel="0" collapsed="false">
      <c r="A5" s="3" t="s">
        <v>1</v>
      </c>
      <c r="B5" s="3" t="s">
        <v>61</v>
      </c>
      <c r="C5" s="3" t="s">
        <v>62</v>
      </c>
      <c r="D5" s="3" t="s">
        <v>63</v>
      </c>
      <c r="E5" s="3" t="s">
        <v>64</v>
      </c>
      <c r="F5" s="3" t="s">
        <v>65</v>
      </c>
      <c r="G5" s="3" t="s">
        <v>66</v>
      </c>
      <c r="H5" s="3" t="s">
        <v>67</v>
      </c>
    </row>
    <row r="6" customFormat="false" ht="22.5" hidden="false" customHeight="true" outlineLevel="0" collapsed="false">
      <c r="A6" s="7" t="n">
        <v>-1</v>
      </c>
      <c r="B6" s="7" t="n">
        <v>67</v>
      </c>
      <c r="C6" s="7" t="n">
        <v>105</v>
      </c>
      <c r="D6" s="7" t="n">
        <f aca="false">AVERAGE(B6:C6)</f>
        <v>86</v>
      </c>
      <c r="E6" s="7" t="n">
        <f aca="false">ROUND(E7 * 0.9,0)</f>
        <v>67</v>
      </c>
      <c r="F6" s="7" t="n">
        <f aca="false">ROUND(F7 * 0.9,0)</f>
        <v>132</v>
      </c>
      <c r="G6" s="7" t="n">
        <f aca="false">AVERAGE(E6:F6)</f>
        <v>99.5</v>
      </c>
      <c r="H6" s="7" t="n">
        <v>0.5</v>
      </c>
    </row>
    <row r="7" customFormat="false" ht="22.5" hidden="false" customHeight="true" outlineLevel="0" collapsed="false">
      <c r="A7" s="7" t="n">
        <v>0</v>
      </c>
      <c r="B7" s="7" t="n">
        <v>70</v>
      </c>
      <c r="C7" s="7" t="n">
        <v>111</v>
      </c>
      <c r="D7" s="7" t="n">
        <f aca="false">AVERAGE(B7:C7)</f>
        <v>90.5</v>
      </c>
      <c r="E7" s="7" t="n">
        <f aca="false">ROUND(F7*H7,0)</f>
        <v>74</v>
      </c>
      <c r="F7" s="7" t="n">
        <v>147</v>
      </c>
      <c r="G7" s="7" t="n">
        <f aca="false">AVERAGE(E7:F7)</f>
        <v>110.5</v>
      </c>
      <c r="H7" s="7" t="n">
        <v>0.5</v>
      </c>
    </row>
    <row r="8" customFormat="false" ht="22.5" hidden="false" customHeight="true" outlineLevel="0" collapsed="false">
      <c r="A8" s="7" t="n">
        <v>1</v>
      </c>
      <c r="B8" s="7" t="n">
        <v>76</v>
      </c>
      <c r="C8" s="7" t="n">
        <v>124</v>
      </c>
      <c r="D8" s="7" t="n">
        <f aca="false">AVERAGE(B8:C8)</f>
        <v>100</v>
      </c>
      <c r="E8" s="7" t="n">
        <f aca="false">ROUND(F8*H8,0)</f>
        <v>81</v>
      </c>
      <c r="F8" s="7" t="n">
        <f aca="false">ROUND(F7*1.1,0)</f>
        <v>162</v>
      </c>
      <c r="G8" s="7" t="n">
        <f aca="false">AVERAGE(E8:F8)</f>
        <v>121.5</v>
      </c>
      <c r="H8" s="7" t="n">
        <v>0.5</v>
      </c>
    </row>
    <row r="9" customFormat="false" ht="22.5" hidden="false" customHeight="true" outlineLevel="0" collapsed="false">
      <c r="A9" s="7" t="n">
        <v>2</v>
      </c>
      <c r="B9" s="7" t="n">
        <v>77</v>
      </c>
      <c r="C9" s="7" t="n">
        <v>139</v>
      </c>
      <c r="D9" s="7" t="n">
        <f aca="false">AVERAGE(B9:C9)</f>
        <v>108</v>
      </c>
      <c r="E9" s="7" t="n">
        <f aca="false">ROUND(F9*H9,0)</f>
        <v>89</v>
      </c>
      <c r="F9" s="7" t="n">
        <f aca="false">ROUND(F8*1.1,0)</f>
        <v>178</v>
      </c>
      <c r="G9" s="7" t="n">
        <f aca="false">AVERAGE(E9:F9)</f>
        <v>133.5</v>
      </c>
      <c r="H9" s="7" t="n">
        <v>0.5</v>
      </c>
    </row>
    <row r="10" customFormat="false" ht="22.5" hidden="false" customHeight="true" outlineLevel="0" collapsed="false">
      <c r="A10" s="7" t="n">
        <v>3</v>
      </c>
      <c r="B10" s="7" t="n">
        <v>89</v>
      </c>
      <c r="C10" s="7" t="n">
        <v>156</v>
      </c>
      <c r="D10" s="7" t="n">
        <f aca="false">AVERAGE(B10:C10)</f>
        <v>122.5</v>
      </c>
      <c r="E10" s="7" t="n">
        <f aca="false">ROUND(F10*H10,0)</f>
        <v>98</v>
      </c>
      <c r="F10" s="7" t="n">
        <f aca="false">ROUND(F9*1.1,0)</f>
        <v>196</v>
      </c>
      <c r="G10" s="7" t="n">
        <f aca="false">AVERAGE(E10:F10)</f>
        <v>147</v>
      </c>
      <c r="H10" s="7" t="n">
        <v>0.5</v>
      </c>
    </row>
    <row r="11" customFormat="false" ht="22.5" hidden="false" customHeight="true" outlineLevel="0" collapsed="false">
      <c r="A11" s="7" t="n">
        <v>4</v>
      </c>
      <c r="B11" s="7" t="n">
        <v>96</v>
      </c>
      <c r="C11" s="7" t="n">
        <v>175</v>
      </c>
      <c r="D11" s="7" t="n">
        <f aca="false">AVERAGE(B11:C11)</f>
        <v>135.5</v>
      </c>
      <c r="E11" s="7" t="n">
        <f aca="false">ROUND(F11*H11,0)</f>
        <v>108</v>
      </c>
      <c r="F11" s="7" t="n">
        <f aca="false">ROUND(F10*1.1,0)</f>
        <v>216</v>
      </c>
      <c r="G11" s="7" t="n">
        <f aca="false">AVERAGE(E11:F11)</f>
        <v>162</v>
      </c>
      <c r="H11" s="7" t="n">
        <v>0.5</v>
      </c>
    </row>
    <row r="12" customFormat="false" ht="22.5" hidden="false" customHeight="true" outlineLevel="0" collapsed="false">
      <c r="A12" s="7" t="n">
        <v>5</v>
      </c>
      <c r="B12" s="7" t="n">
        <v>104</v>
      </c>
      <c r="C12" s="7" t="n">
        <v>196</v>
      </c>
      <c r="D12" s="7" t="n">
        <f aca="false">AVERAGE(B12:C12)</f>
        <v>150</v>
      </c>
      <c r="E12" s="7" t="n">
        <f aca="false">ROUND(F12*H12,0)</f>
        <v>119</v>
      </c>
      <c r="F12" s="7" t="n">
        <f aca="false">ROUND(F11*1.1,0)</f>
        <v>238</v>
      </c>
      <c r="G12" s="7" t="n">
        <f aca="false">AVERAGE(E12:F12)</f>
        <v>178.5</v>
      </c>
      <c r="H12" s="7" t="n">
        <v>0.5</v>
      </c>
    </row>
    <row r="14" customFormat="false" ht="15.75" hidden="false" customHeight="false" outlineLevel="0" collapsed="false">
      <c r="A14" s="18" t="s">
        <v>68</v>
      </c>
      <c r="B14" s="18"/>
      <c r="C14" s="18"/>
      <c r="D14" s="18"/>
    </row>
    <row r="15" customFormat="false" ht="15.75" hidden="false" customHeight="false" outlineLevel="0" collapsed="false">
      <c r="A15" s="6" t="s">
        <v>69</v>
      </c>
      <c r="B15" s="6" t="s">
        <v>70</v>
      </c>
      <c r="C15" s="18" t="s">
        <v>71</v>
      </c>
      <c r="D15" s="6" t="s">
        <v>94</v>
      </c>
    </row>
    <row r="16" customFormat="false" ht="59.25" hidden="false" customHeight="true" outlineLevel="0" collapsed="false">
      <c r="A16" s="13" t="s">
        <v>85</v>
      </c>
      <c r="B16" s="13" t="s">
        <v>179</v>
      </c>
      <c r="C16" s="20" t="s">
        <v>180</v>
      </c>
      <c r="D16" s="13" t="s">
        <v>181</v>
      </c>
    </row>
    <row r="20" customFormat="false" ht="15.75" hidden="false" customHeight="false" outlineLevel="0" collapsed="false">
      <c r="A20" s="2" t="s">
        <v>177</v>
      </c>
    </row>
    <row r="21" customFormat="false" ht="15.75" hidden="false" customHeight="false" outlineLevel="0" collapsed="false">
      <c r="A21" s="2" t="s">
        <v>170</v>
      </c>
      <c r="B21" s="2" t="s">
        <v>171</v>
      </c>
      <c r="C21" s="2" t="s">
        <v>172</v>
      </c>
      <c r="D21" s="2" t="s">
        <v>173</v>
      </c>
    </row>
    <row r="22" customFormat="false" ht="15.75" hidden="false" customHeight="false" outlineLevel="0" collapsed="false">
      <c r="A22" s="17" t="s">
        <v>182</v>
      </c>
      <c r="B22" s="17" t="s">
        <v>7</v>
      </c>
      <c r="C22" s="17" t="s">
        <v>106</v>
      </c>
      <c r="D22" s="17" t="s">
        <v>32</v>
      </c>
    </row>
  </sheetData>
  <mergeCells count="2">
    <mergeCell ref="B3:G3"/>
    <mergeCell ref="A14:D14"/>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20.51"/>
    <col collapsed="false" customWidth="true" hidden="false" outlineLevel="0" max="2" min="2" style="1" width="17.38"/>
    <col collapsed="false" customWidth="true" hidden="false" outlineLevel="0" max="3" min="3" style="1" width="17.75"/>
    <col collapsed="false" customWidth="true" hidden="false" outlineLevel="0" max="4" min="4" style="1" width="17.25"/>
    <col collapsed="false" customWidth="true" hidden="false" outlineLevel="0" max="5" min="5" style="1" width="18.13"/>
    <col collapsed="false" customWidth="true" hidden="false" outlineLevel="0" max="6" min="6" style="1" width="18.5"/>
    <col collapsed="false" customWidth="true" hidden="false" outlineLevel="0" max="7" min="7" style="1" width="25.63"/>
    <col collapsed="false" customWidth="true" hidden="false" outlineLevel="0" max="9" min="9" style="1" width="21.12"/>
    <col collapsed="false" customWidth="true" hidden="false" outlineLevel="0" max="10" min="10" style="1" width="24.52"/>
    <col collapsed="false" customWidth="true" hidden="false" outlineLevel="0" max="11" min="11" style="1" width="2.75"/>
    <col collapsed="false" customWidth="true" hidden="false" outlineLevel="0" max="12" min="12" style="1" width="2.5"/>
    <col collapsed="false" customWidth="true" hidden="false" outlineLevel="0" max="13" min="13" style="1" width="2.63"/>
    <col collapsed="false" customWidth="true" hidden="false" outlineLevel="0" max="18" min="14" style="1" width="3.13"/>
  </cols>
  <sheetData>
    <row r="1" customFormat="false" ht="15.75" hidden="false" customHeight="false" outlineLevel="0" collapsed="false">
      <c r="B1" s="2"/>
    </row>
    <row r="2" customFormat="false" ht="15.75" hidden="false" customHeight="false" outlineLevel="0" collapsed="false">
      <c r="B2" s="2" t="s">
        <v>59</v>
      </c>
    </row>
    <row r="3" customFormat="false" ht="15.75" hidden="false" customHeight="false" outlineLevel="0" collapsed="false">
      <c r="A3" s="6"/>
      <c r="B3" s="6" t="s">
        <v>60</v>
      </c>
      <c r="C3" s="6"/>
      <c r="D3" s="6"/>
      <c r="E3" s="6"/>
      <c r="F3" s="6"/>
      <c r="G3" s="6"/>
      <c r="H3" s="6"/>
    </row>
    <row r="4" customFormat="false" ht="15.75" hidden="false" customHeight="false" outlineLevel="0" collapsed="false">
      <c r="A4" s="2"/>
      <c r="B4" s="2"/>
      <c r="C4" s="2"/>
      <c r="D4" s="2"/>
      <c r="E4" s="2"/>
      <c r="F4" s="2"/>
      <c r="G4" s="2"/>
      <c r="H4" s="2"/>
    </row>
    <row r="5" customFormat="false" ht="22.5" hidden="false" customHeight="true" outlineLevel="0" collapsed="false">
      <c r="A5" s="3" t="s">
        <v>1</v>
      </c>
      <c r="B5" s="3" t="s">
        <v>61</v>
      </c>
      <c r="C5" s="3" t="s">
        <v>62</v>
      </c>
      <c r="D5" s="3" t="s">
        <v>63</v>
      </c>
      <c r="E5" s="3" t="s">
        <v>64</v>
      </c>
      <c r="F5" s="3" t="s">
        <v>65</v>
      </c>
      <c r="G5" s="3" t="s">
        <v>66</v>
      </c>
      <c r="H5" s="3" t="s">
        <v>67</v>
      </c>
    </row>
    <row r="6" customFormat="false" ht="22.5" hidden="false" customHeight="true" outlineLevel="0" collapsed="false">
      <c r="A6" s="7" t="n">
        <v>-1</v>
      </c>
      <c r="B6" s="7" t="n">
        <v>67</v>
      </c>
      <c r="C6" s="7" t="n">
        <v>88</v>
      </c>
      <c r="D6" s="7" t="n">
        <f aca="false">AVERAGE(B6:C6)</f>
        <v>77.5</v>
      </c>
      <c r="E6" s="7" t="n">
        <f aca="false">ROUND(F6*H6,0)</f>
        <v>67</v>
      </c>
      <c r="F6" s="7" t="n">
        <f aca="false">ROUND(F7 * 0.9,0)</f>
        <v>84</v>
      </c>
      <c r="G6" s="7" t="n">
        <f aca="false">AVERAGE(E6:F6)</f>
        <v>75.5</v>
      </c>
      <c r="H6" s="7" t="n">
        <v>0.8</v>
      </c>
    </row>
    <row r="7" customFormat="false" ht="22.5" hidden="false" customHeight="true" outlineLevel="0" collapsed="false">
      <c r="A7" s="7" t="n">
        <v>0</v>
      </c>
      <c r="B7" s="7" t="n">
        <v>71</v>
      </c>
      <c r="C7" s="7" t="n">
        <v>93</v>
      </c>
      <c r="D7" s="7" t="n">
        <f aca="false">AVERAGE(B7:C7)</f>
        <v>82</v>
      </c>
      <c r="E7" s="7" t="n">
        <f aca="false">ROUND(F7*H7,0)</f>
        <v>74</v>
      </c>
      <c r="F7" s="7" t="n">
        <v>93</v>
      </c>
      <c r="G7" s="7" t="n">
        <f aca="false">AVERAGE(E7:F7)</f>
        <v>83.5</v>
      </c>
      <c r="H7" s="7" t="n">
        <v>0.8</v>
      </c>
    </row>
    <row r="8" customFormat="false" ht="22.5" hidden="false" customHeight="true" outlineLevel="0" collapsed="false">
      <c r="A8" s="7" t="n">
        <v>1</v>
      </c>
      <c r="B8" s="7" t="n">
        <v>78</v>
      </c>
      <c r="C8" s="7" t="n">
        <v>102</v>
      </c>
      <c r="D8" s="7" t="n">
        <f aca="false">AVERAGE(B8:C8)</f>
        <v>90</v>
      </c>
      <c r="E8" s="7" t="n">
        <f aca="false">ROUND(F8*H8,0)</f>
        <v>82</v>
      </c>
      <c r="F8" s="7" t="n">
        <f aca="false">ROUND(F7*1.1,0)</f>
        <v>102</v>
      </c>
      <c r="G8" s="7" t="n">
        <f aca="false">AVERAGE(E8:F8)</f>
        <v>92</v>
      </c>
      <c r="H8" s="7" t="n">
        <v>0.8</v>
      </c>
    </row>
    <row r="9" customFormat="false" ht="22.5" hidden="false" customHeight="true" outlineLevel="0" collapsed="false">
      <c r="A9" s="7" t="n">
        <v>2</v>
      </c>
      <c r="B9" s="7" t="n">
        <v>86</v>
      </c>
      <c r="C9" s="7" t="n">
        <v>112</v>
      </c>
      <c r="D9" s="7" t="n">
        <f aca="false">AVERAGE(B9:C9)</f>
        <v>99</v>
      </c>
      <c r="E9" s="7" t="n">
        <f aca="false">ROUND(F9*H9,0)</f>
        <v>90</v>
      </c>
      <c r="F9" s="7" t="n">
        <f aca="false">ROUND(F8*1.1,0)</f>
        <v>112</v>
      </c>
      <c r="G9" s="7" t="n">
        <f aca="false">AVERAGE(E9:F9)</f>
        <v>101</v>
      </c>
      <c r="H9" s="7" t="n">
        <v>0.8</v>
      </c>
    </row>
    <row r="10" customFormat="false" ht="22.5" hidden="false" customHeight="true" outlineLevel="0" collapsed="false">
      <c r="A10" s="7" t="n">
        <v>3</v>
      </c>
      <c r="B10" s="7" t="n">
        <v>95</v>
      </c>
      <c r="C10" s="7" t="n">
        <v>123</v>
      </c>
      <c r="D10" s="7" t="n">
        <f aca="false">AVERAGE(B10:C10)</f>
        <v>109</v>
      </c>
      <c r="E10" s="7" t="n">
        <f aca="false">ROUND(F10*H10,0)</f>
        <v>98</v>
      </c>
      <c r="F10" s="7" t="n">
        <f aca="false">ROUND(F9*1.1,0)</f>
        <v>123</v>
      </c>
      <c r="G10" s="7" t="n">
        <f aca="false">AVERAGE(E10:F10)</f>
        <v>110.5</v>
      </c>
      <c r="H10" s="7" t="n">
        <v>0.8</v>
      </c>
    </row>
    <row r="11" customFormat="false" ht="22.5" hidden="false" customHeight="true" outlineLevel="0" collapsed="false">
      <c r="A11" s="7" t="n">
        <v>4</v>
      </c>
      <c r="B11" s="7" t="n">
        <v>105</v>
      </c>
      <c r="C11" s="7" t="n">
        <v>135</v>
      </c>
      <c r="D11" s="7" t="n">
        <f aca="false">AVERAGE(B11:C11)</f>
        <v>120</v>
      </c>
      <c r="E11" s="7" t="n">
        <f aca="false">ROUND(F11*H11,0)</f>
        <v>108</v>
      </c>
      <c r="F11" s="7" t="n">
        <f aca="false">ROUND(F10*1.1,0)</f>
        <v>135</v>
      </c>
      <c r="G11" s="7" t="n">
        <f aca="false">AVERAGE(E11:F11)</f>
        <v>121.5</v>
      </c>
      <c r="H11" s="7" t="n">
        <v>0.8</v>
      </c>
    </row>
    <row r="12" customFormat="false" ht="22.5" hidden="false" customHeight="true" outlineLevel="0" collapsed="false">
      <c r="A12" s="7" t="n">
        <v>5</v>
      </c>
      <c r="B12" s="7" t="n">
        <v>116</v>
      </c>
      <c r="C12" s="7" t="n">
        <v>149</v>
      </c>
      <c r="D12" s="7" t="n">
        <f aca="false">AVERAGE(B12:C12)</f>
        <v>132.5</v>
      </c>
      <c r="E12" s="7" t="n">
        <f aca="false">ROUND(F12*H12,0)</f>
        <v>119</v>
      </c>
      <c r="F12" s="7" t="n">
        <f aca="false">ROUND(F11*1.1,0)</f>
        <v>149</v>
      </c>
      <c r="G12" s="7" t="n">
        <f aca="false">AVERAGE(E12:F12)</f>
        <v>134</v>
      </c>
      <c r="H12" s="7" t="n">
        <v>0.8</v>
      </c>
    </row>
    <row r="14" customFormat="false" ht="39" hidden="false" customHeight="true" outlineLevel="0" collapsed="false">
      <c r="A14" s="18" t="s">
        <v>68</v>
      </c>
      <c r="B14" s="18"/>
      <c r="C14" s="18"/>
    </row>
    <row r="15" customFormat="false" ht="29.25" hidden="false" customHeight="true" outlineLevel="0" collapsed="false">
      <c r="A15" s="6" t="s">
        <v>69</v>
      </c>
      <c r="B15" s="6" t="s">
        <v>70</v>
      </c>
      <c r="C15" s="18" t="s">
        <v>71</v>
      </c>
      <c r="D15" s="17" t="s">
        <v>183</v>
      </c>
    </row>
    <row r="16" customFormat="false" ht="15.75" hidden="false" customHeight="false" outlineLevel="0" collapsed="false">
      <c r="A16" s="13" t="s">
        <v>184</v>
      </c>
      <c r="B16" s="13" t="s">
        <v>85</v>
      </c>
      <c r="C16" s="20" t="s">
        <v>85</v>
      </c>
      <c r="D16" s="17" t="s">
        <v>185</v>
      </c>
    </row>
    <row r="17" customFormat="false" ht="15.75" hidden="false" customHeight="false" outlineLevel="0" collapsed="false">
      <c r="A17" s="2"/>
    </row>
    <row r="20" customFormat="false" ht="15.75" hidden="false" customHeight="false" outlineLevel="0" collapsed="false">
      <c r="A20" s="2" t="s">
        <v>177</v>
      </c>
    </row>
    <row r="21" customFormat="false" ht="15.75" hidden="false" customHeight="false" outlineLevel="0" collapsed="false">
      <c r="A21" s="2" t="s">
        <v>170</v>
      </c>
      <c r="B21" s="2" t="s">
        <v>171</v>
      </c>
      <c r="C21" s="2" t="s">
        <v>172</v>
      </c>
      <c r="D21" s="2" t="s">
        <v>173</v>
      </c>
    </row>
    <row r="22" customFormat="false" ht="15.75" hidden="false" customHeight="false" outlineLevel="0" collapsed="false">
      <c r="A22" s="17" t="s">
        <v>101</v>
      </c>
      <c r="B22" s="17" t="s">
        <v>128</v>
      </c>
      <c r="C22" s="17" t="s">
        <v>142</v>
      </c>
      <c r="D22" s="17" t="s">
        <v>186</v>
      </c>
      <c r="K22" s="23"/>
      <c r="L22" s="32"/>
      <c r="M22" s="32"/>
      <c r="N22" s="32"/>
      <c r="O22" s="23"/>
    </row>
    <row r="23" customFormat="false" ht="15.75" hidden="false" customHeight="false" outlineLevel="0" collapsed="false">
      <c r="K23" s="23"/>
      <c r="L23" s="23"/>
      <c r="M23" s="23"/>
      <c r="N23" s="23"/>
      <c r="O23" s="23"/>
    </row>
  </sheetData>
  <mergeCells count="2">
    <mergeCell ref="B3:G3"/>
    <mergeCell ref="A14:C14"/>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5" activeCellId="0" sqref="G15"/>
    </sheetView>
  </sheetViews>
  <sheetFormatPr defaultColWidth="12.6328125" defaultRowHeight="15.75" zeroHeight="false" outlineLevelRow="0" outlineLevelCol="0"/>
  <cols>
    <col collapsed="false" customWidth="true" hidden="false" outlineLevel="0" max="1" min="1" style="1" width="20.51"/>
    <col collapsed="false" customWidth="true" hidden="false" outlineLevel="0" max="2" min="2" style="1" width="17.25"/>
    <col collapsed="false" customWidth="true" hidden="false" outlineLevel="0" max="3" min="3" style="1" width="17.75"/>
    <col collapsed="false" customWidth="true" hidden="false" outlineLevel="0" max="4" min="4" style="1" width="17.25"/>
    <col collapsed="false" customWidth="true" hidden="false" outlineLevel="0" max="5" min="5" style="1" width="18.13"/>
    <col collapsed="false" customWidth="true" hidden="false" outlineLevel="0" max="6" min="6" style="1" width="18.63"/>
    <col collapsed="false" customWidth="true" hidden="false" outlineLevel="0" max="7" min="7" style="1" width="25.88"/>
    <col collapsed="false" customWidth="true" hidden="false" outlineLevel="0" max="9" min="9" style="1" width="21.12"/>
    <col collapsed="false" customWidth="true" hidden="false" outlineLevel="0" max="10" min="10" style="1" width="24.52"/>
  </cols>
  <sheetData>
    <row r="1" customFormat="false" ht="14.25" hidden="false" customHeight="true" outlineLevel="0" collapsed="false">
      <c r="A1" s="2"/>
      <c r="B1" s="2"/>
      <c r="C1" s="2"/>
      <c r="D1" s="2"/>
      <c r="E1" s="2"/>
      <c r="F1" s="2"/>
      <c r="G1" s="2"/>
      <c r="H1" s="2"/>
    </row>
    <row r="2" customFormat="false" ht="14.25" hidden="false" customHeight="true" outlineLevel="0" collapsed="false">
      <c r="A2" s="2"/>
      <c r="B2" s="2" t="s">
        <v>59</v>
      </c>
      <c r="C2" s="2"/>
      <c r="D2" s="2"/>
      <c r="E2" s="2"/>
      <c r="F2" s="2"/>
      <c r="G2" s="2"/>
      <c r="H2" s="2"/>
    </row>
    <row r="3" customFormat="false" ht="14.25" hidden="false" customHeight="true" outlineLevel="0" collapsed="false">
      <c r="A3" s="6"/>
      <c r="B3" s="6" t="s">
        <v>60</v>
      </c>
      <c r="C3" s="6"/>
      <c r="D3" s="6"/>
      <c r="E3" s="6"/>
      <c r="F3" s="6"/>
      <c r="G3" s="6"/>
      <c r="H3" s="6"/>
    </row>
    <row r="4" customFormat="false" ht="14.25" hidden="false" customHeight="true" outlineLevel="0" collapsed="false">
      <c r="A4" s="2"/>
      <c r="B4" s="2"/>
      <c r="C4" s="2"/>
      <c r="D4" s="2"/>
      <c r="E4" s="2"/>
      <c r="F4" s="2"/>
      <c r="G4" s="2"/>
      <c r="H4" s="2"/>
    </row>
    <row r="5" customFormat="false" ht="14.25" hidden="false" customHeight="true" outlineLevel="0" collapsed="false">
      <c r="A5" s="34" t="s">
        <v>1</v>
      </c>
      <c r="B5" s="34" t="s">
        <v>61</v>
      </c>
      <c r="C5" s="34" t="s">
        <v>62</v>
      </c>
      <c r="D5" s="34" t="s">
        <v>63</v>
      </c>
      <c r="E5" s="34" t="s">
        <v>64</v>
      </c>
      <c r="F5" s="34" t="s">
        <v>65</v>
      </c>
      <c r="G5" s="34" t="s">
        <v>66</v>
      </c>
      <c r="H5" s="34" t="s">
        <v>67</v>
      </c>
    </row>
    <row r="6" customFormat="false" ht="14.25" hidden="false" customHeight="true" outlineLevel="0" collapsed="false">
      <c r="A6" s="35" t="n">
        <v>-1</v>
      </c>
      <c r="B6" s="35" t="n">
        <v>85</v>
      </c>
      <c r="C6" s="35" t="n">
        <v>109</v>
      </c>
      <c r="D6" s="35" t="n">
        <f aca="false">AVERAGE(B6:C6)</f>
        <v>97</v>
      </c>
      <c r="E6" s="35" t="n">
        <f aca="false">ROUND(F6*H6,0)</f>
        <v>94</v>
      </c>
      <c r="F6" s="35" t="n">
        <f aca="false">ROUND(F7 * 0.9,0)</f>
        <v>144</v>
      </c>
      <c r="G6" s="35" t="n">
        <f aca="false">AVERAGE(E6:F6)</f>
        <v>119</v>
      </c>
      <c r="H6" s="35" t="n">
        <v>0.65</v>
      </c>
    </row>
    <row r="7" customFormat="false" ht="14.25" hidden="false" customHeight="true" outlineLevel="0" collapsed="false">
      <c r="A7" s="35" t="n">
        <v>0</v>
      </c>
      <c r="B7" s="35" t="n">
        <v>90</v>
      </c>
      <c r="C7" s="35" t="n">
        <v>116</v>
      </c>
      <c r="D7" s="35" t="n">
        <f aca="false">AVERAGE(B7:C7)</f>
        <v>103</v>
      </c>
      <c r="E7" s="35" t="n">
        <f aca="false">ROUND(F7*H7,0)</f>
        <v>104</v>
      </c>
      <c r="F7" s="35" t="n">
        <v>160</v>
      </c>
      <c r="G7" s="35" t="n">
        <f aca="false">AVERAGE(E7:F7)</f>
        <v>132</v>
      </c>
      <c r="H7" s="35" t="n">
        <v>0.65</v>
      </c>
    </row>
    <row r="8" customFormat="false" ht="14.25" hidden="false" customHeight="true" outlineLevel="0" collapsed="false">
      <c r="A8" s="35" t="n">
        <v>1</v>
      </c>
      <c r="B8" s="6" t="n">
        <v>99</v>
      </c>
      <c r="C8" s="6" t="n">
        <v>128</v>
      </c>
      <c r="D8" s="35" t="n">
        <f aca="false">AVERAGE(B8:C8)</f>
        <v>113.5</v>
      </c>
      <c r="E8" s="35" t="n">
        <f aca="false">ROUND(F8*H8,0)</f>
        <v>114</v>
      </c>
      <c r="F8" s="35" t="n">
        <f aca="false">ROUND(F7*1.1,0)</f>
        <v>176</v>
      </c>
      <c r="G8" s="35" t="n">
        <f aca="false">AVERAGE(E8:F8)</f>
        <v>145</v>
      </c>
      <c r="H8" s="35" t="n">
        <v>0.65</v>
      </c>
      <c r="K8" s="2"/>
    </row>
    <row r="9" customFormat="false" ht="14.25" hidden="false" customHeight="true" outlineLevel="0" collapsed="false">
      <c r="A9" s="35" t="n">
        <v>2</v>
      </c>
      <c r="B9" s="6" t="n">
        <v>109</v>
      </c>
      <c r="C9" s="6" t="n">
        <v>141</v>
      </c>
      <c r="D9" s="35" t="n">
        <f aca="false">AVERAGE(B9:C9)</f>
        <v>125</v>
      </c>
      <c r="E9" s="35" t="n">
        <f aca="false">ROUND(F9*H9,0)</f>
        <v>126</v>
      </c>
      <c r="F9" s="35" t="n">
        <f aca="false">ROUND(F8*1.1,0)</f>
        <v>194</v>
      </c>
      <c r="G9" s="35" t="n">
        <f aca="false">AVERAGE(E9:F9)</f>
        <v>160</v>
      </c>
      <c r="H9" s="35" t="n">
        <v>0.65</v>
      </c>
    </row>
    <row r="10" customFormat="false" ht="14.25" hidden="false" customHeight="true" outlineLevel="0" collapsed="false">
      <c r="A10" s="35" t="n">
        <v>3</v>
      </c>
      <c r="B10" s="6" t="n">
        <v>120</v>
      </c>
      <c r="C10" s="6" t="n">
        <v>155</v>
      </c>
      <c r="D10" s="35" t="n">
        <f aca="false">AVERAGE(B10:C10)</f>
        <v>137.5</v>
      </c>
      <c r="E10" s="35" t="n">
        <f aca="false">ROUND(F10*H10,0)</f>
        <v>138</v>
      </c>
      <c r="F10" s="35" t="n">
        <f aca="false">ROUND(F9*1.1,0)</f>
        <v>213</v>
      </c>
      <c r="G10" s="35" t="n">
        <f aca="false">AVERAGE(E10:F10)</f>
        <v>175.5</v>
      </c>
      <c r="H10" s="35" t="n">
        <v>0.65</v>
      </c>
    </row>
    <row r="11" customFormat="false" ht="14.25" hidden="false" customHeight="true" outlineLevel="0" collapsed="false">
      <c r="A11" s="35" t="n">
        <v>4</v>
      </c>
      <c r="B11" s="6" t="n">
        <v>132</v>
      </c>
      <c r="C11" s="6" t="n">
        <v>171</v>
      </c>
      <c r="D11" s="35" t="n">
        <f aca="false">AVERAGE(B11:C11)</f>
        <v>151.5</v>
      </c>
      <c r="E11" s="35" t="n">
        <f aca="false">ROUND(F11*H11,0)</f>
        <v>152</v>
      </c>
      <c r="F11" s="35" t="n">
        <f aca="false">ROUND(F10*1.1,0)</f>
        <v>234</v>
      </c>
      <c r="G11" s="35" t="n">
        <f aca="false">AVERAGE(E11:F11)</f>
        <v>193</v>
      </c>
      <c r="H11" s="35" t="n">
        <v>0.65</v>
      </c>
    </row>
    <row r="12" customFormat="false" ht="14.25" hidden="false" customHeight="true" outlineLevel="0" collapsed="false">
      <c r="A12" s="35" t="n">
        <v>5</v>
      </c>
      <c r="B12" s="6" t="n">
        <v>145</v>
      </c>
      <c r="C12" s="6" t="n">
        <v>188</v>
      </c>
      <c r="D12" s="35" t="n">
        <f aca="false">AVERAGE(B12:C12)</f>
        <v>166.5</v>
      </c>
      <c r="E12" s="35" t="n">
        <f aca="false">ROUND(F12*H12,0)</f>
        <v>167</v>
      </c>
      <c r="F12" s="35" t="n">
        <f aca="false">ROUND(F11*1.1,0)</f>
        <v>257</v>
      </c>
      <c r="G12" s="35" t="n">
        <f aca="false">AVERAGE(E12:F12)</f>
        <v>212</v>
      </c>
      <c r="H12" s="35" t="n">
        <v>0.65</v>
      </c>
    </row>
    <row r="13" customFormat="false" ht="15.75" hidden="false" customHeight="false" outlineLevel="0" collapsed="false">
      <c r="A13" s="2"/>
    </row>
    <row r="14" customFormat="false" ht="15.75" hidden="false" customHeight="false" outlineLevel="0" collapsed="false">
      <c r="A14" s="18" t="s">
        <v>68</v>
      </c>
      <c r="B14" s="18"/>
      <c r="C14" s="18"/>
    </row>
    <row r="15" customFormat="false" ht="15.75" hidden="false" customHeight="false" outlineLevel="0" collapsed="false">
      <c r="A15" s="6" t="s">
        <v>69</v>
      </c>
      <c r="B15" s="6" t="s">
        <v>70</v>
      </c>
      <c r="C15" s="18" t="s">
        <v>71</v>
      </c>
      <c r="D15" s="18" t="s">
        <v>94</v>
      </c>
    </row>
    <row r="16" customFormat="false" ht="15.75" hidden="false" customHeight="false" outlineLevel="0" collapsed="false">
      <c r="A16" s="13" t="s">
        <v>187</v>
      </c>
      <c r="B16" s="13" t="s">
        <v>85</v>
      </c>
      <c r="C16" s="13" t="s">
        <v>187</v>
      </c>
      <c r="D16" s="13" t="s">
        <v>188</v>
      </c>
    </row>
    <row r="20" customFormat="false" ht="15.75" hidden="false" customHeight="false" outlineLevel="0" collapsed="false">
      <c r="A20" s="2" t="s">
        <v>84</v>
      </c>
    </row>
    <row r="21" customFormat="false" ht="15.75" hidden="false" customHeight="false" outlineLevel="0" collapsed="false">
      <c r="A21" s="2" t="s">
        <v>170</v>
      </c>
      <c r="B21" s="2" t="s">
        <v>171</v>
      </c>
      <c r="C21" s="2" t="s">
        <v>172</v>
      </c>
      <c r="D21" s="2" t="s">
        <v>173</v>
      </c>
    </row>
    <row r="22" customFormat="false" ht="15.75" hidden="false" customHeight="false" outlineLevel="0" collapsed="false">
      <c r="A22" s="17" t="s">
        <v>182</v>
      </c>
      <c r="B22" s="17" t="s">
        <v>101</v>
      </c>
      <c r="C22" s="17" t="s">
        <v>102</v>
      </c>
      <c r="D22" s="17" t="s">
        <v>189</v>
      </c>
    </row>
  </sheetData>
  <mergeCells count="2">
    <mergeCell ref="B3:G3"/>
    <mergeCell ref="A14:C14"/>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7" activeCellId="0" sqref="F7"/>
    </sheetView>
  </sheetViews>
  <sheetFormatPr defaultColWidth="12.6328125" defaultRowHeight="15.75" zeroHeight="false" outlineLevelRow="0" outlineLevelCol="0"/>
  <cols>
    <col collapsed="false" customWidth="true" hidden="false" outlineLevel="0" max="1" min="1" style="1" width="20.51"/>
    <col collapsed="false" customWidth="true" hidden="false" outlineLevel="0" max="2" min="2" style="1" width="17.25"/>
    <col collapsed="false" customWidth="true" hidden="false" outlineLevel="0" max="3" min="3" style="1" width="17.75"/>
    <col collapsed="false" customWidth="true" hidden="false" outlineLevel="0" max="4" min="4" style="1" width="17.25"/>
    <col collapsed="false" customWidth="true" hidden="false" outlineLevel="0" max="5" min="5" style="1" width="18.13"/>
    <col collapsed="false" customWidth="true" hidden="false" outlineLevel="0" max="6" min="6" style="1" width="18.63"/>
    <col collapsed="false" customWidth="true" hidden="false" outlineLevel="0" max="7" min="7" style="1" width="25.88"/>
    <col collapsed="false" customWidth="true" hidden="false" outlineLevel="0" max="9" min="9" style="1" width="21.12"/>
    <col collapsed="false" customWidth="true" hidden="false" outlineLevel="0" max="10" min="10" style="1" width="24.52"/>
  </cols>
  <sheetData>
    <row r="1" customFormat="false" ht="15.75" hidden="false" customHeight="false" outlineLevel="0" collapsed="false">
      <c r="A1" s="2"/>
      <c r="B1" s="2"/>
      <c r="C1" s="2"/>
      <c r="D1" s="2"/>
      <c r="E1" s="2"/>
      <c r="F1" s="2"/>
      <c r="G1" s="2"/>
      <c r="H1" s="2"/>
    </row>
    <row r="2" customFormat="false" ht="15.75" hidden="false" customHeight="false" outlineLevel="0" collapsed="false">
      <c r="A2" s="2"/>
      <c r="B2" s="2" t="s">
        <v>59</v>
      </c>
      <c r="C2" s="2"/>
      <c r="D2" s="2"/>
      <c r="E2" s="2"/>
      <c r="F2" s="2"/>
      <c r="G2" s="2"/>
      <c r="H2" s="2"/>
    </row>
    <row r="3" customFormat="false" ht="15.75" hidden="false" customHeight="true" outlineLevel="0" collapsed="false">
      <c r="A3" s="6"/>
      <c r="B3" s="6" t="s">
        <v>60</v>
      </c>
      <c r="C3" s="6"/>
      <c r="D3" s="6"/>
      <c r="E3" s="6"/>
      <c r="F3" s="6"/>
      <c r="G3" s="6"/>
      <c r="H3" s="6"/>
    </row>
    <row r="4" customFormat="false" ht="15.75" hidden="false" customHeight="true" outlineLevel="0" collapsed="false">
      <c r="A4" s="2"/>
      <c r="B4" s="2"/>
      <c r="C4" s="2"/>
      <c r="D4" s="2"/>
      <c r="E4" s="2"/>
      <c r="F4" s="2"/>
      <c r="G4" s="2"/>
      <c r="H4" s="2"/>
    </row>
    <row r="5" customFormat="false" ht="15.75" hidden="false" customHeight="true" outlineLevel="0" collapsed="false">
      <c r="A5" s="34" t="s">
        <v>1</v>
      </c>
      <c r="B5" s="34" t="s">
        <v>61</v>
      </c>
      <c r="C5" s="34" t="s">
        <v>62</v>
      </c>
      <c r="D5" s="34" t="s">
        <v>63</v>
      </c>
      <c r="E5" s="34" t="s">
        <v>64</v>
      </c>
      <c r="F5" s="34" t="s">
        <v>65</v>
      </c>
      <c r="G5" s="34" t="s">
        <v>66</v>
      </c>
      <c r="H5" s="34" t="s">
        <v>67</v>
      </c>
    </row>
    <row r="6" customFormat="false" ht="15.75" hidden="false" customHeight="true" outlineLevel="0" collapsed="false">
      <c r="A6" s="35" t="n">
        <v>-1</v>
      </c>
      <c r="B6" s="35" t="n">
        <v>61</v>
      </c>
      <c r="C6" s="35" t="n">
        <v>77</v>
      </c>
      <c r="D6" s="35" t="n">
        <f aca="false">AVERAGE(B6:C6)</f>
        <v>69</v>
      </c>
      <c r="E6" s="35" t="n">
        <f aca="false">ROUND(F6*H6,0)</f>
        <v>69</v>
      </c>
      <c r="F6" s="35" t="n">
        <f aca="false">ROUND(F7 * 0.9,0)</f>
        <v>86</v>
      </c>
      <c r="G6" s="35" t="n">
        <f aca="false">AVERAGE(E6:F6)</f>
        <v>77.5</v>
      </c>
      <c r="H6" s="35" t="n">
        <v>0.8</v>
      </c>
    </row>
    <row r="7" customFormat="false" ht="15.75" hidden="false" customHeight="true" outlineLevel="0" collapsed="false">
      <c r="A7" s="35" t="n">
        <v>0</v>
      </c>
      <c r="B7" s="35" t="n">
        <v>65</v>
      </c>
      <c r="C7" s="35" t="n">
        <v>83</v>
      </c>
      <c r="D7" s="35" t="n">
        <f aca="false">AVERAGE(B7:C7)</f>
        <v>74</v>
      </c>
      <c r="E7" s="35" t="n">
        <f aca="false">ROUND(F7*H7,0)</f>
        <v>76</v>
      </c>
      <c r="F7" s="35" t="n">
        <v>95</v>
      </c>
      <c r="G7" s="35" t="n">
        <f aca="false">AVERAGE(E7:F7)</f>
        <v>85.5</v>
      </c>
      <c r="H7" s="35" t="n">
        <v>0.8</v>
      </c>
    </row>
    <row r="8" customFormat="false" ht="15.75" hidden="false" customHeight="true" outlineLevel="0" collapsed="false">
      <c r="A8" s="35" t="n">
        <v>1</v>
      </c>
      <c r="B8" s="6" t="n">
        <v>72</v>
      </c>
      <c r="C8" s="6" t="n">
        <v>91</v>
      </c>
      <c r="D8" s="35" t="n">
        <f aca="false">AVERAGE(B8:C8)</f>
        <v>81.5</v>
      </c>
      <c r="E8" s="35" t="n">
        <f aca="false">ROUND(F8*H8,0)</f>
        <v>84</v>
      </c>
      <c r="F8" s="35" t="n">
        <f aca="false">ROUND(F7*1.1,0)</f>
        <v>105</v>
      </c>
      <c r="G8" s="35" t="n">
        <f aca="false">AVERAGE(E8:F8)</f>
        <v>94.5</v>
      </c>
      <c r="H8" s="35" t="n">
        <v>0.8</v>
      </c>
      <c r="K8" s="2"/>
    </row>
    <row r="9" customFormat="false" ht="15.75" hidden="false" customHeight="true" outlineLevel="0" collapsed="false">
      <c r="A9" s="35" t="n">
        <v>2</v>
      </c>
      <c r="B9" s="6" t="n">
        <v>79</v>
      </c>
      <c r="C9" s="6" t="n">
        <v>100</v>
      </c>
      <c r="D9" s="35" t="n">
        <f aca="false">AVERAGE(B9:C9)</f>
        <v>89.5</v>
      </c>
      <c r="E9" s="35" t="n">
        <f aca="false">ROUND(F9*H9,0)</f>
        <v>93</v>
      </c>
      <c r="F9" s="35" t="n">
        <f aca="false">ROUND(F8*1.1,0)</f>
        <v>116</v>
      </c>
      <c r="G9" s="35" t="n">
        <f aca="false">AVERAGE(E9:F9)</f>
        <v>104.5</v>
      </c>
      <c r="H9" s="35" t="n">
        <v>0.8</v>
      </c>
    </row>
    <row r="10" customFormat="false" ht="15.75" hidden="false" customHeight="true" outlineLevel="0" collapsed="false">
      <c r="A10" s="35" t="n">
        <v>3</v>
      </c>
      <c r="B10" s="6" t="n">
        <v>87</v>
      </c>
      <c r="C10" s="6" t="n">
        <v>110</v>
      </c>
      <c r="D10" s="35" t="n">
        <f aca="false">AVERAGE(B10:C10)</f>
        <v>98.5</v>
      </c>
      <c r="E10" s="35" t="n">
        <f aca="false">ROUND(F10*H10,0)</f>
        <v>102</v>
      </c>
      <c r="F10" s="35" t="n">
        <f aca="false">ROUND(F9*1.1,0)</f>
        <v>128</v>
      </c>
      <c r="G10" s="35" t="n">
        <f aca="false">AVERAGE(E10:F10)</f>
        <v>115</v>
      </c>
      <c r="H10" s="35" t="n">
        <v>0.8</v>
      </c>
    </row>
    <row r="11" customFormat="false" ht="15.75" hidden="false" customHeight="true" outlineLevel="0" collapsed="false">
      <c r="A11" s="35" t="n">
        <v>4</v>
      </c>
      <c r="B11" s="6" t="n">
        <v>96</v>
      </c>
      <c r="C11" s="6" t="n">
        <v>121</v>
      </c>
      <c r="D11" s="35" t="n">
        <f aca="false">AVERAGE(B11:C11)</f>
        <v>108.5</v>
      </c>
      <c r="E11" s="35" t="n">
        <f aca="false">ROUND(F11*H11,0)</f>
        <v>113</v>
      </c>
      <c r="F11" s="35" t="n">
        <f aca="false">ROUND(F10*1.1,0)</f>
        <v>141</v>
      </c>
      <c r="G11" s="35" t="n">
        <f aca="false">AVERAGE(E11:F11)</f>
        <v>127</v>
      </c>
      <c r="H11" s="35" t="n">
        <v>0.8</v>
      </c>
    </row>
    <row r="12" customFormat="false" ht="15.75" hidden="false" customHeight="true" outlineLevel="0" collapsed="false">
      <c r="A12" s="36" t="n">
        <v>5</v>
      </c>
      <c r="B12" s="37" t="n">
        <v>106</v>
      </c>
      <c r="C12" s="37" t="n">
        <v>133</v>
      </c>
      <c r="D12" s="35" t="n">
        <f aca="false">AVERAGE(B12:C12)</f>
        <v>119.5</v>
      </c>
      <c r="E12" s="35" t="n">
        <f aca="false">ROUND(F12*H12,0)</f>
        <v>124</v>
      </c>
      <c r="F12" s="35" t="n">
        <f aca="false">ROUND(F11*1.1,0)</f>
        <v>155</v>
      </c>
      <c r="G12" s="35" t="n">
        <f aca="false">AVERAGE(E12:F12)</f>
        <v>139.5</v>
      </c>
      <c r="H12" s="35" t="n">
        <v>0.8</v>
      </c>
    </row>
    <row r="13" customFormat="false" ht="15.75" hidden="false" customHeight="false" outlineLevel="0" collapsed="false">
      <c r="A13" s="38"/>
      <c r="B13" s="39"/>
      <c r="C13" s="39"/>
      <c r="D13" s="2"/>
      <c r="E13" s="40"/>
      <c r="F13" s="40"/>
      <c r="G13" s="40"/>
      <c r="H13" s="40"/>
    </row>
    <row r="14" customFormat="false" ht="15.75" hidden="false" customHeight="false" outlineLevel="0" collapsed="false">
      <c r="A14" s="41" t="s">
        <v>68</v>
      </c>
      <c r="B14" s="41"/>
      <c r="C14" s="41"/>
    </row>
    <row r="15" customFormat="false" ht="15.75" hidden="false" customHeight="false" outlineLevel="0" collapsed="false">
      <c r="A15" s="6" t="s">
        <v>69</v>
      </c>
      <c r="B15" s="6" t="s">
        <v>190</v>
      </c>
      <c r="C15" s="18" t="s">
        <v>191</v>
      </c>
      <c r="D15" s="18" t="s">
        <v>94</v>
      </c>
    </row>
    <row r="16" customFormat="false" ht="15.75" hidden="false" customHeight="false" outlineLevel="0" collapsed="false">
      <c r="A16" s="13" t="s">
        <v>82</v>
      </c>
      <c r="B16" s="13" t="s">
        <v>85</v>
      </c>
      <c r="C16" s="13" t="s">
        <v>192</v>
      </c>
      <c r="D16" s="13" t="s">
        <v>193</v>
      </c>
    </row>
    <row r="20" customFormat="false" ht="15.75" hidden="false" customHeight="false" outlineLevel="0" collapsed="false">
      <c r="A20" s="2" t="s">
        <v>84</v>
      </c>
    </row>
    <row r="21" customFormat="false" ht="15.75" hidden="false" customHeight="false" outlineLevel="0" collapsed="false">
      <c r="A21" s="2" t="s">
        <v>170</v>
      </c>
      <c r="B21" s="2" t="s">
        <v>171</v>
      </c>
      <c r="C21" s="2" t="s">
        <v>172</v>
      </c>
      <c r="D21" s="2" t="s">
        <v>173</v>
      </c>
    </row>
    <row r="22" customFormat="false" ht="15.75" hidden="false" customHeight="false" outlineLevel="0" collapsed="false">
      <c r="A22" s="17" t="s">
        <v>194</v>
      </c>
      <c r="B22" s="17" t="s">
        <v>5</v>
      </c>
      <c r="C22" s="17" t="s">
        <v>17</v>
      </c>
      <c r="D22" s="17" t="s">
        <v>195</v>
      </c>
    </row>
  </sheetData>
  <mergeCells count="2">
    <mergeCell ref="B3:G3"/>
    <mergeCell ref="A14:C14"/>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20.51"/>
    <col collapsed="false" customWidth="true" hidden="false" outlineLevel="0" max="2" min="2" style="1" width="17.38"/>
    <col collapsed="false" customWidth="true" hidden="false" outlineLevel="0" max="3" min="3" style="1" width="17.75"/>
    <col collapsed="false" customWidth="true" hidden="false" outlineLevel="0" max="4" min="4" style="1" width="17.25"/>
    <col collapsed="false" customWidth="true" hidden="false" outlineLevel="0" max="5" min="5" style="1" width="18.13"/>
    <col collapsed="false" customWidth="true" hidden="false" outlineLevel="0" max="6" min="6" style="1" width="18.5"/>
    <col collapsed="false" customWidth="true" hidden="false" outlineLevel="0" max="7" min="7" style="1" width="25.63"/>
    <col collapsed="false" customWidth="true" hidden="false" outlineLevel="0" max="9" min="9" style="1" width="21.12"/>
    <col collapsed="false" customWidth="true" hidden="false" outlineLevel="0" max="10" min="10" style="1" width="24.52"/>
  </cols>
  <sheetData>
    <row r="1" customFormat="false" ht="15.75" hidden="false" customHeight="false" outlineLevel="0" collapsed="false">
      <c r="B1" s="2"/>
    </row>
    <row r="2" customFormat="false" ht="15.75" hidden="false" customHeight="false" outlineLevel="0" collapsed="false">
      <c r="B2" s="2" t="s">
        <v>59</v>
      </c>
    </row>
    <row r="3" customFormat="false" ht="15.75" hidden="false" customHeight="false" outlineLevel="0" collapsed="false">
      <c r="A3" s="6"/>
      <c r="B3" s="6" t="s">
        <v>60</v>
      </c>
      <c r="C3" s="6"/>
      <c r="D3" s="6"/>
      <c r="E3" s="6"/>
      <c r="F3" s="6"/>
      <c r="G3" s="6"/>
      <c r="H3" s="6"/>
    </row>
    <row r="4" customFormat="false" ht="15.75" hidden="false" customHeight="false" outlineLevel="0" collapsed="false">
      <c r="A4" s="2"/>
      <c r="B4" s="2"/>
      <c r="C4" s="2"/>
      <c r="D4" s="2"/>
      <c r="E4" s="2"/>
      <c r="F4" s="2"/>
      <c r="G4" s="2"/>
      <c r="H4" s="2"/>
    </row>
    <row r="5" customFormat="false" ht="22.5" hidden="false" customHeight="true" outlineLevel="0" collapsed="false">
      <c r="A5" s="3" t="s">
        <v>1</v>
      </c>
      <c r="B5" s="3" t="s">
        <v>61</v>
      </c>
      <c r="C5" s="3" t="s">
        <v>62</v>
      </c>
      <c r="D5" s="3" t="s">
        <v>63</v>
      </c>
      <c r="E5" s="3" t="s">
        <v>64</v>
      </c>
      <c r="F5" s="3" t="s">
        <v>65</v>
      </c>
      <c r="G5" s="3" t="s">
        <v>66</v>
      </c>
      <c r="H5" s="3" t="s">
        <v>67</v>
      </c>
    </row>
    <row r="6" customFormat="false" ht="22.5" hidden="false" customHeight="true" outlineLevel="0" collapsed="false">
      <c r="A6" s="7" t="n">
        <v>-1</v>
      </c>
      <c r="B6" s="7" t="n">
        <v>84</v>
      </c>
      <c r="C6" s="7" t="n">
        <v>101</v>
      </c>
      <c r="D6" s="7" t="n">
        <f aca="false">AVERAGE(B6:C6)</f>
        <v>92.5</v>
      </c>
      <c r="E6" s="7" t="n">
        <f aca="false">ROUND(F6*H6,0)</f>
        <v>79</v>
      </c>
      <c r="F6" s="7" t="n">
        <f aca="false">ROUND(F7 * 0.9,0)</f>
        <v>99</v>
      </c>
      <c r="G6" s="7" t="n">
        <f aca="false">AVERAGE(E6:F6)</f>
        <v>89</v>
      </c>
      <c r="H6" s="7" t="n">
        <v>0.8</v>
      </c>
    </row>
    <row r="7" customFormat="false" ht="22.5" hidden="false" customHeight="true" outlineLevel="0" collapsed="false">
      <c r="A7" s="7" t="n">
        <v>0</v>
      </c>
      <c r="B7" s="7" t="n">
        <v>91</v>
      </c>
      <c r="C7" s="7" t="n">
        <v>108</v>
      </c>
      <c r="D7" s="7" t="n">
        <f aca="false">AVERAGE(B7:C7)</f>
        <v>99.5</v>
      </c>
      <c r="E7" s="7" t="n">
        <f aca="false">ROUND(F7*H7,0)</f>
        <v>88</v>
      </c>
      <c r="F7" s="7" t="n">
        <v>110</v>
      </c>
      <c r="G7" s="7" t="n">
        <f aca="false">AVERAGE(E7:F7)</f>
        <v>99</v>
      </c>
      <c r="H7" s="7" t="n">
        <v>0.8</v>
      </c>
    </row>
    <row r="8" customFormat="false" ht="15.75" hidden="false" customHeight="true" outlineLevel="0" collapsed="false">
      <c r="A8" s="7" t="n">
        <v>1</v>
      </c>
      <c r="B8" s="7" t="n">
        <v>101</v>
      </c>
      <c r="C8" s="7" t="n">
        <v>120</v>
      </c>
      <c r="D8" s="7" t="n">
        <f aca="false">AVERAGE(B8:C8)</f>
        <v>110.5</v>
      </c>
      <c r="E8" s="7" t="n">
        <f aca="false">ROUND(F8*H8,0)</f>
        <v>97</v>
      </c>
      <c r="F8" s="7" t="n">
        <f aca="false">FLOOR(F7*1.1,1)</f>
        <v>121</v>
      </c>
      <c r="G8" s="7" t="n">
        <f aca="false">AVERAGE(E8:F8)</f>
        <v>109</v>
      </c>
      <c r="H8" s="7" t="n">
        <v>0.8</v>
      </c>
      <c r="K8" s="2"/>
    </row>
    <row r="9" customFormat="false" ht="22.5" hidden="false" customHeight="true" outlineLevel="0" collapsed="false">
      <c r="A9" s="7" t="n">
        <v>2</v>
      </c>
      <c r="B9" s="7" t="n">
        <v>122</v>
      </c>
      <c r="C9" s="7" t="n">
        <v>133</v>
      </c>
      <c r="D9" s="7" t="n">
        <f aca="false">AVERAGE(B9:C9)</f>
        <v>127.5</v>
      </c>
      <c r="E9" s="7" t="n">
        <f aca="false">ROUND(F9*H9,0)</f>
        <v>106</v>
      </c>
      <c r="F9" s="7" t="n">
        <f aca="false">FLOOR(F8*1.1,1)</f>
        <v>133</v>
      </c>
      <c r="G9" s="7" t="n">
        <f aca="false">AVERAGE(E9:F9)</f>
        <v>119.5</v>
      </c>
      <c r="H9" s="7" t="n">
        <v>0.8</v>
      </c>
    </row>
    <row r="10" customFormat="false" ht="16.5" hidden="false" customHeight="true" outlineLevel="0" collapsed="false">
      <c r="A10" s="7" t="n">
        <v>3</v>
      </c>
      <c r="B10" s="7" t="n">
        <v>124</v>
      </c>
      <c r="C10" s="7" t="n">
        <v>148</v>
      </c>
      <c r="D10" s="7" t="n">
        <f aca="false">AVERAGE(B10:C10)</f>
        <v>136</v>
      </c>
      <c r="E10" s="7" t="n">
        <f aca="false">ROUND(F10*H10,0)</f>
        <v>117</v>
      </c>
      <c r="F10" s="7" t="n">
        <f aca="false">FLOOR(F9*1.1,1)</f>
        <v>146</v>
      </c>
      <c r="G10" s="7" t="n">
        <f aca="false">AVERAGE(E10:F10)</f>
        <v>131.5</v>
      </c>
      <c r="H10" s="7" t="n">
        <v>0.8</v>
      </c>
    </row>
    <row r="11" customFormat="false" ht="16.5" hidden="false" customHeight="true" outlineLevel="0" collapsed="false">
      <c r="A11" s="7" t="n">
        <v>4</v>
      </c>
      <c r="B11" s="7" t="n">
        <v>138</v>
      </c>
      <c r="C11" s="7" t="n">
        <v>164</v>
      </c>
      <c r="D11" s="7" t="n">
        <f aca="false">AVERAGE(B11:C11)</f>
        <v>151</v>
      </c>
      <c r="E11" s="7" t="n">
        <f aca="false">ROUND(F11*H11,0)</f>
        <v>128</v>
      </c>
      <c r="F11" s="7" t="n">
        <f aca="false">FLOOR(F10*1.1,1)</f>
        <v>160</v>
      </c>
      <c r="G11" s="7" t="n">
        <f aca="false">AVERAGE(E11:F11)</f>
        <v>144</v>
      </c>
      <c r="H11" s="7" t="n">
        <v>0.8</v>
      </c>
    </row>
    <row r="12" customFormat="false" ht="22.5" hidden="false" customHeight="true" outlineLevel="0" collapsed="false">
      <c r="A12" s="7" t="n">
        <v>5</v>
      </c>
      <c r="B12" s="7" t="n">
        <v>153</v>
      </c>
      <c r="C12" s="7" t="n">
        <v>182</v>
      </c>
      <c r="D12" s="7" t="n">
        <f aca="false">AVERAGE(B12:C12)</f>
        <v>167.5</v>
      </c>
      <c r="E12" s="7" t="n">
        <f aca="false">ROUND(F12*H12,0)</f>
        <v>141</v>
      </c>
      <c r="F12" s="7" t="n">
        <f aca="false">FLOOR(F11*1.1,1)</f>
        <v>176</v>
      </c>
      <c r="G12" s="7" t="n">
        <f aca="false">AVERAGE(E12:F12)</f>
        <v>158.5</v>
      </c>
      <c r="H12" s="7" t="n">
        <v>0.8</v>
      </c>
    </row>
    <row r="13" customFormat="false" ht="15.75" hidden="false" customHeight="false" outlineLevel="0" collapsed="false">
      <c r="A13" s="18"/>
      <c r="B13" s="18"/>
      <c r="C13" s="18"/>
    </row>
    <row r="14" customFormat="false" ht="15.75" hidden="false" customHeight="false" outlineLevel="0" collapsed="false">
      <c r="A14" s="6" t="s">
        <v>68</v>
      </c>
      <c r="B14" s="6"/>
      <c r="C14" s="6"/>
    </row>
    <row r="15" customFormat="false" ht="15.75" hidden="false" customHeight="false" outlineLevel="0" collapsed="false">
      <c r="A15" s="6" t="s">
        <v>69</v>
      </c>
      <c r="B15" s="6" t="s">
        <v>70</v>
      </c>
      <c r="C15" s="6" t="s">
        <v>71</v>
      </c>
    </row>
    <row r="16" customFormat="false" ht="15.75" hidden="false" customHeight="false" outlineLevel="0" collapsed="false">
      <c r="A16" s="13" t="s">
        <v>196</v>
      </c>
      <c r="B16" s="13" t="s">
        <v>92</v>
      </c>
      <c r="C16" s="13" t="s">
        <v>197</v>
      </c>
    </row>
    <row r="20" customFormat="false" ht="15.75" hidden="false" customHeight="false" outlineLevel="0" collapsed="false">
      <c r="A20" s="2" t="s">
        <v>84</v>
      </c>
    </row>
    <row r="21" customFormat="false" ht="15.75" hidden="false" customHeight="false" outlineLevel="0" collapsed="false">
      <c r="A21" s="2" t="s">
        <v>170</v>
      </c>
      <c r="B21" s="2" t="s">
        <v>171</v>
      </c>
      <c r="C21" s="2" t="s">
        <v>172</v>
      </c>
      <c r="D21" s="2" t="s">
        <v>173</v>
      </c>
    </row>
    <row r="22" customFormat="false" ht="15.75" hidden="false" customHeight="false" outlineLevel="0" collapsed="false">
      <c r="A22" s="29" t="s">
        <v>101</v>
      </c>
      <c r="B22" s="29" t="s">
        <v>105</v>
      </c>
      <c r="C22" s="29" t="s">
        <v>33</v>
      </c>
      <c r="D22" s="17" t="s">
        <v>32</v>
      </c>
    </row>
  </sheetData>
  <mergeCells count="2">
    <mergeCell ref="B3:G3"/>
    <mergeCell ref="A14:C14"/>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20.51"/>
    <col collapsed="false" customWidth="true" hidden="false" outlineLevel="0" max="2" min="2" style="1" width="17.25"/>
    <col collapsed="false" customWidth="true" hidden="false" outlineLevel="0" max="3" min="3" style="1" width="17.75"/>
    <col collapsed="false" customWidth="true" hidden="false" outlineLevel="0" max="4" min="4" style="1" width="17.25"/>
    <col collapsed="false" customWidth="true" hidden="false" outlineLevel="0" max="5" min="5" style="1" width="18.13"/>
    <col collapsed="false" customWidth="true" hidden="false" outlineLevel="0" max="6" min="6" style="1" width="18.63"/>
    <col collapsed="false" customWidth="true" hidden="false" outlineLevel="0" max="7" min="7" style="1" width="25.88"/>
    <col collapsed="false" customWidth="true" hidden="false" outlineLevel="0" max="9" min="9" style="1" width="21.12"/>
    <col collapsed="false" customWidth="true" hidden="false" outlineLevel="0" max="10" min="10" style="1" width="24.52"/>
  </cols>
  <sheetData>
    <row r="1" customFormat="false" ht="15.75" hidden="false" customHeight="false" outlineLevel="0" collapsed="false">
      <c r="A1" s="2"/>
      <c r="B1" s="2"/>
      <c r="C1" s="2"/>
      <c r="D1" s="2"/>
      <c r="E1" s="2"/>
      <c r="F1" s="2"/>
      <c r="G1" s="2"/>
      <c r="H1" s="2"/>
    </row>
    <row r="2" customFormat="false" ht="15.75" hidden="false" customHeight="false" outlineLevel="0" collapsed="false">
      <c r="A2" s="2"/>
      <c r="B2" s="2" t="s">
        <v>59</v>
      </c>
      <c r="C2" s="2"/>
      <c r="D2" s="2"/>
      <c r="E2" s="2"/>
      <c r="F2" s="2"/>
      <c r="G2" s="2"/>
      <c r="H2" s="2"/>
    </row>
    <row r="3" customFormat="false" ht="15.75" hidden="false" customHeight="true" outlineLevel="0" collapsed="false">
      <c r="A3" s="6"/>
      <c r="B3" s="6" t="s">
        <v>60</v>
      </c>
      <c r="C3" s="6"/>
      <c r="D3" s="6"/>
      <c r="E3" s="6"/>
      <c r="F3" s="6"/>
      <c r="G3" s="6"/>
      <c r="H3" s="6"/>
    </row>
    <row r="4" customFormat="false" ht="15.75" hidden="false" customHeight="true" outlineLevel="0" collapsed="false">
      <c r="A4" s="2"/>
      <c r="B4" s="2"/>
      <c r="C4" s="2"/>
      <c r="D4" s="2"/>
      <c r="E4" s="2"/>
      <c r="F4" s="2"/>
      <c r="G4" s="2"/>
      <c r="H4" s="2"/>
    </row>
    <row r="5" customFormat="false" ht="15.75" hidden="false" customHeight="true" outlineLevel="0" collapsed="false">
      <c r="A5" s="34" t="s">
        <v>1</v>
      </c>
      <c r="B5" s="34" t="s">
        <v>61</v>
      </c>
      <c r="C5" s="34" t="s">
        <v>62</v>
      </c>
      <c r="D5" s="34" t="s">
        <v>63</v>
      </c>
      <c r="E5" s="34" t="s">
        <v>64</v>
      </c>
      <c r="F5" s="34" t="s">
        <v>65</v>
      </c>
      <c r="G5" s="34" t="s">
        <v>66</v>
      </c>
      <c r="H5" s="34" t="s">
        <v>67</v>
      </c>
    </row>
    <row r="6" customFormat="false" ht="15.75" hidden="false" customHeight="true" outlineLevel="0" collapsed="false">
      <c r="A6" s="35" t="n">
        <v>-1</v>
      </c>
      <c r="B6" s="35" t="n">
        <v>84</v>
      </c>
      <c r="C6" s="35" t="n">
        <v>117</v>
      </c>
      <c r="D6" s="35" t="n">
        <f aca="false">AVERAGE(B6:C6)</f>
        <v>100.5</v>
      </c>
      <c r="E6" s="35" t="n">
        <f aca="false">ROUND(F6*H6,0)</f>
        <v>68</v>
      </c>
      <c r="F6" s="35" t="n">
        <f aca="false">ROUND(F7 * 0.9,0)</f>
        <v>135</v>
      </c>
      <c r="G6" s="35" t="n">
        <f aca="false">AVERAGE(E6:F6)</f>
        <v>101.5</v>
      </c>
      <c r="H6" s="35" t="n">
        <v>0.5</v>
      </c>
    </row>
    <row r="7" customFormat="false" ht="15.75" hidden="false" customHeight="true" outlineLevel="0" collapsed="false">
      <c r="A7" s="35" t="n">
        <v>0</v>
      </c>
      <c r="B7" s="35" t="n">
        <v>89</v>
      </c>
      <c r="C7" s="35" t="n">
        <v>124</v>
      </c>
      <c r="D7" s="35" t="n">
        <f aca="false">AVERAGE(B7:C7)</f>
        <v>106.5</v>
      </c>
      <c r="E7" s="35" t="n">
        <f aca="false">ROUND(F7*H7,0)</f>
        <v>75</v>
      </c>
      <c r="F7" s="35" t="n">
        <v>150</v>
      </c>
      <c r="G7" s="35" t="n">
        <f aca="false">AVERAGE(E7:F7)</f>
        <v>112.5</v>
      </c>
      <c r="H7" s="35" t="n">
        <v>0.5</v>
      </c>
    </row>
    <row r="8" customFormat="false" ht="15.75" hidden="false" customHeight="true" outlineLevel="0" collapsed="false">
      <c r="A8" s="35" t="n">
        <v>1</v>
      </c>
      <c r="B8" s="6" t="n">
        <v>93</v>
      </c>
      <c r="C8" s="6" t="n">
        <v>130</v>
      </c>
      <c r="D8" s="35" t="n">
        <f aca="false">AVERAGE(B8:C8)</f>
        <v>111.5</v>
      </c>
      <c r="E8" s="35" t="n">
        <f aca="false">ROUND(F8*H8,0)</f>
        <v>83</v>
      </c>
      <c r="F8" s="35" t="n">
        <f aca="false">ROUND(F7*1.1,0)</f>
        <v>165</v>
      </c>
      <c r="G8" s="35" t="n">
        <f aca="false">AVERAGE(E8:F8)</f>
        <v>124</v>
      </c>
      <c r="H8" s="35" t="n">
        <v>0.5</v>
      </c>
      <c r="K8" s="2"/>
    </row>
    <row r="9" customFormat="false" ht="15.75" hidden="false" customHeight="true" outlineLevel="0" collapsed="false">
      <c r="A9" s="35" t="n">
        <v>2</v>
      </c>
      <c r="B9" s="6" t="n">
        <v>103</v>
      </c>
      <c r="C9" s="6" t="n">
        <v>144</v>
      </c>
      <c r="D9" s="35" t="n">
        <f aca="false">AVERAGE(B9:C9)</f>
        <v>123.5</v>
      </c>
      <c r="E9" s="35" t="n">
        <f aca="false">ROUND(F9*H9,0)</f>
        <v>91</v>
      </c>
      <c r="F9" s="35" t="n">
        <f aca="false">ROUND(F8*1.1,0)</f>
        <v>182</v>
      </c>
      <c r="G9" s="35" t="n">
        <f aca="false">AVERAGE(E9:F9)</f>
        <v>136.5</v>
      </c>
      <c r="H9" s="35" t="n">
        <v>0.5</v>
      </c>
    </row>
    <row r="10" customFormat="false" ht="15.75" hidden="false" customHeight="true" outlineLevel="0" collapsed="false">
      <c r="A10" s="35" t="n">
        <v>3</v>
      </c>
      <c r="B10" s="6" t="n">
        <v>114</v>
      </c>
      <c r="C10" s="6" t="n">
        <v>160</v>
      </c>
      <c r="D10" s="35" t="n">
        <f aca="false">AVERAGE(B10:C10)</f>
        <v>137</v>
      </c>
      <c r="E10" s="35" t="n">
        <f aca="false">ROUND(F10*H10,0)</f>
        <v>100</v>
      </c>
      <c r="F10" s="35" t="n">
        <f aca="false">ROUND(F9*1.1,0)</f>
        <v>200</v>
      </c>
      <c r="G10" s="35" t="n">
        <f aca="false">AVERAGE(E10:F10)</f>
        <v>150</v>
      </c>
      <c r="H10" s="35" t="n">
        <v>0.5</v>
      </c>
    </row>
    <row r="11" customFormat="false" ht="15.75" hidden="false" customHeight="true" outlineLevel="0" collapsed="false">
      <c r="A11" s="35" t="n">
        <v>4</v>
      </c>
      <c r="B11" s="6" t="n">
        <v>127</v>
      </c>
      <c r="C11" s="6" t="n">
        <v>178</v>
      </c>
      <c r="D11" s="35" t="n">
        <f aca="false">AVERAGE(B11:C11)</f>
        <v>152.5</v>
      </c>
      <c r="E11" s="35" t="n">
        <f aca="false">ROUND(F11*H11,0)</f>
        <v>110</v>
      </c>
      <c r="F11" s="35" t="n">
        <f aca="false">ROUND(F10*1.1,0)</f>
        <v>220</v>
      </c>
      <c r="G11" s="35" t="n">
        <f aca="false">AVERAGE(E11:F11)</f>
        <v>165</v>
      </c>
      <c r="H11" s="35" t="n">
        <v>0.5</v>
      </c>
    </row>
    <row r="12" customFormat="false" ht="15.75" hidden="false" customHeight="true" outlineLevel="0" collapsed="false">
      <c r="A12" s="36" t="n">
        <v>5</v>
      </c>
      <c r="B12" s="37" t="n">
        <v>141</v>
      </c>
      <c r="C12" s="37" t="n">
        <v>198</v>
      </c>
      <c r="D12" s="35" t="n">
        <f aca="false">AVERAGE(B12:C12)</f>
        <v>169.5</v>
      </c>
      <c r="E12" s="35" t="n">
        <f aca="false">ROUND(F12*H12,0)</f>
        <v>121</v>
      </c>
      <c r="F12" s="35" t="n">
        <f aca="false">ROUND(F11*1.1,0)</f>
        <v>242</v>
      </c>
      <c r="G12" s="35" t="n">
        <f aca="false">AVERAGE(E12:F12)</f>
        <v>181.5</v>
      </c>
      <c r="H12" s="35" t="n">
        <v>0.5</v>
      </c>
    </row>
    <row r="13" customFormat="false" ht="15.75" hidden="false" customHeight="false" outlineLevel="0" collapsed="false">
      <c r="A13" s="38"/>
      <c r="B13" s="39"/>
      <c r="C13" s="39"/>
      <c r="D13" s="2"/>
      <c r="E13" s="40"/>
      <c r="F13" s="40"/>
      <c r="G13" s="40"/>
      <c r="H13" s="40"/>
    </row>
    <row r="14" customFormat="false" ht="15.75" hidden="false" customHeight="false" outlineLevel="0" collapsed="false">
      <c r="A14" s="41" t="s">
        <v>68</v>
      </c>
      <c r="B14" s="41"/>
      <c r="C14" s="41"/>
    </row>
    <row r="15" customFormat="false" ht="15.75" hidden="false" customHeight="false" outlineLevel="0" collapsed="false">
      <c r="A15" s="6" t="s">
        <v>69</v>
      </c>
      <c r="B15" s="6" t="s">
        <v>198</v>
      </c>
      <c r="C15" s="18" t="s">
        <v>199</v>
      </c>
      <c r="D15" s="18" t="s">
        <v>94</v>
      </c>
      <c r="E15" s="6" t="s">
        <v>122</v>
      </c>
    </row>
    <row r="16" customFormat="false" ht="109.5" hidden="false" customHeight="true" outlineLevel="0" collapsed="false">
      <c r="A16" s="13" t="s">
        <v>200</v>
      </c>
      <c r="B16" s="13" t="s">
        <v>85</v>
      </c>
      <c r="C16" s="13" t="s">
        <v>201</v>
      </c>
      <c r="D16" s="13" t="s">
        <v>202</v>
      </c>
      <c r="E16" s="13" t="s">
        <v>203</v>
      </c>
    </row>
    <row r="17" customFormat="false" ht="15.75" hidden="false" customHeight="false" outlineLevel="0" collapsed="false">
      <c r="D17" s="2"/>
    </row>
    <row r="20" customFormat="false" ht="15.75" hidden="false" customHeight="false" outlineLevel="0" collapsed="false">
      <c r="A20" s="2" t="s">
        <v>84</v>
      </c>
    </row>
    <row r="21" customFormat="false" ht="15.75" hidden="false" customHeight="false" outlineLevel="0" collapsed="false">
      <c r="A21" s="2" t="s">
        <v>170</v>
      </c>
      <c r="B21" s="2" t="s">
        <v>171</v>
      </c>
      <c r="C21" s="2" t="s">
        <v>172</v>
      </c>
      <c r="D21" s="2" t="s">
        <v>173</v>
      </c>
    </row>
    <row r="22" customFormat="false" ht="15.75" hidden="false" customHeight="false" outlineLevel="0" collapsed="false">
      <c r="A22" s="29" t="s">
        <v>101</v>
      </c>
      <c r="B22" s="29" t="s">
        <v>8</v>
      </c>
      <c r="C22" s="29" t="s">
        <v>7</v>
      </c>
      <c r="D22" s="17" t="s">
        <v>35</v>
      </c>
    </row>
  </sheetData>
  <mergeCells count="2">
    <mergeCell ref="B3:G3"/>
    <mergeCell ref="A14:C14"/>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216</TotalTime>
  <Application>LibreOffice/7.5.4.2$Windows_X86_64 LibreOffice_project/36ccfdc35048b057fd9854c757a8b67ec53977b6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pl-PL</dc:language>
  <cp:lastModifiedBy/>
  <dcterms:modified xsi:type="dcterms:W3CDTF">2026-05-06T13:00:19Z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